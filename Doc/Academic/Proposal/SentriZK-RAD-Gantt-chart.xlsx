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FYP_BCSS\SentriZK-InternalChat\Doc\Academic\Proposal\"/>
    </mc:Choice>
  </mc:AlternateContent>
  <xr:revisionPtr revIDLastSave="0" documentId="13_ncr:1_{82E2D5C9-C5B9-4473-9FBF-E309DBB0F037}" xr6:coauthVersionLast="47" xr6:coauthVersionMax="47" xr10:uidLastSave="{00000000-0000-0000-0000-000000000000}"/>
  <bookViews>
    <workbookView xWindow="-108" yWindow="-108" windowWidth="23256" windowHeight="13176" xr2:uid="{00000000-000D-0000-FFFF-FFFF00000000}"/>
  </bookViews>
  <sheets>
    <sheet name="Project schedule" sheetId="11" r:id="rId1"/>
    <sheet name="About" sheetId="12" state="hidden"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 i="11" l="1"/>
  <c r="E49" i="11"/>
  <c r="F48" i="11"/>
  <c r="F47" i="11"/>
  <c r="E48" i="11" s="1"/>
  <c r="E47" i="11"/>
  <c r="F46" i="11"/>
  <c r="E46" i="11"/>
  <c r="Q1" i="11"/>
  <c r="H7" i="11"/>
  <c r="E9" i="11" l="1"/>
  <c r="I5" i="11"/>
  <c r="H50" i="11"/>
  <c r="H36" i="11"/>
  <c r="H26" i="11"/>
  <c r="H13" i="11"/>
  <c r="H8" i="11"/>
  <c r="F9" i="11" l="1"/>
  <c r="I6" i="11"/>
  <c r="H49" i="11" l="1"/>
  <c r="E10" i="11"/>
  <c r="F10" i="11" s="1"/>
  <c r="E11" i="11" s="1"/>
  <c r="F11" i="11" s="1"/>
  <c r="E12" i="11" s="1"/>
  <c r="F12" i="11" s="1"/>
  <c r="E14" i="11" s="1"/>
  <c r="E15" i="11" s="1"/>
  <c r="F15" i="11" s="1"/>
  <c r="E16" i="11" s="1"/>
  <c r="F16" i="11" s="1"/>
  <c r="E17" i="11" s="1"/>
  <c r="F17" i="11" s="1"/>
  <c r="E18" i="11" s="1"/>
  <c r="H9" i="11"/>
  <c r="J5" i="11"/>
  <c r="K5" i="11" s="1"/>
  <c r="L5" i="11" s="1"/>
  <c r="M5" i="11" s="1"/>
  <c r="N5" i="11" s="1"/>
  <c r="O5" i="11" s="1"/>
  <c r="P5" i="11" s="1"/>
  <c r="I4" i="11"/>
  <c r="E19" i="11" l="1"/>
  <c r="F19" i="11" s="1"/>
  <c r="E20" i="11" s="1"/>
  <c r="F20" i="11" s="1"/>
  <c r="E21" i="11" s="1"/>
  <c r="F18" i="11"/>
  <c r="H10" i="11"/>
  <c r="H12" i="11"/>
  <c r="F14" i="11"/>
  <c r="H14" i="11" s="1"/>
  <c r="H15" i="11"/>
  <c r="H11" i="11"/>
  <c r="P4" i="11"/>
  <c r="Q5" i="11"/>
  <c r="R5" i="11" s="1"/>
  <c r="S5" i="11" s="1"/>
  <c r="T5" i="11" s="1"/>
  <c r="U5" i="11" s="1"/>
  <c r="V5" i="11" s="1"/>
  <c r="W5" i="11" s="1"/>
  <c r="J6" i="11"/>
  <c r="F21" i="11" l="1"/>
  <c r="E22" i="11" s="1"/>
  <c r="F22" i="11" s="1"/>
  <c r="H17" i="11"/>
  <c r="H16" i="11"/>
  <c r="W4" i="11"/>
  <c r="X5" i="11"/>
  <c r="Y5" i="11" s="1"/>
  <c r="Z5" i="11" s="1"/>
  <c r="AA5" i="11" s="1"/>
  <c r="AB5" i="11" s="1"/>
  <c r="AC5" i="11" s="1"/>
  <c r="AD5" i="11" s="1"/>
  <c r="K6" i="11"/>
  <c r="E23" i="11" l="1"/>
  <c r="F23" i="11" s="1"/>
  <c r="E24" i="11"/>
  <c r="F24" i="11" s="1"/>
  <c r="E25" i="11" s="1"/>
  <c r="F25" i="11" s="1"/>
  <c r="E27" i="11" s="1"/>
  <c r="AE5" i="11"/>
  <c r="AF5" i="11" s="1"/>
  <c r="AG5" i="11" s="1"/>
  <c r="AH5" i="11" s="1"/>
  <c r="AI5" i="11" s="1"/>
  <c r="AJ5" i="11" s="1"/>
  <c r="AD4" i="11"/>
  <c r="L6" i="11"/>
  <c r="E28" i="11" l="1"/>
  <c r="F28" i="11" s="1"/>
  <c r="E29" i="11" s="1"/>
  <c r="F27" i="11"/>
  <c r="H25" i="11"/>
  <c r="AK5" i="11"/>
  <c r="AL5" i="11" s="1"/>
  <c r="AM5" i="11" s="1"/>
  <c r="AN5" i="11" s="1"/>
  <c r="AO5" i="11" s="1"/>
  <c r="AP5" i="11" s="1"/>
  <c r="AQ5" i="11" s="1"/>
  <c r="M6" i="11"/>
  <c r="F29" i="11" l="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27" i="11"/>
  <c r="H28" i="11" l="1"/>
  <c r="E30" i="11" l="1"/>
  <c r="H29" i="11"/>
  <c r="E31" i="11" l="1"/>
  <c r="F31" i="11" s="1"/>
  <c r="E32" i="11" s="1"/>
  <c r="F30" i="11"/>
  <c r="H30" i="11" s="1"/>
  <c r="F32" i="11" l="1"/>
  <c r="E33" i="11" s="1"/>
  <c r="F33" i="11" l="1"/>
  <c r="E34" i="11" s="1"/>
  <c r="F34" i="11" l="1"/>
  <c r="F35" i="11" s="1"/>
  <c r="E37" i="11" s="1"/>
  <c r="E35" i="11"/>
  <c r="H35" i="11" l="1"/>
  <c r="F37" i="11"/>
  <c r="H37" i="11" s="1"/>
  <c r="E38" i="11"/>
  <c r="F38" i="11" l="1"/>
  <c r="E39" i="11" s="1"/>
  <c r="H38" i="11" l="1"/>
  <c r="F39" i="11"/>
  <c r="E40" i="11" s="1"/>
  <c r="E41" i="11" l="1"/>
  <c r="F41" i="11" s="1"/>
  <c r="E42" i="11" s="1"/>
  <c r="E44" i="11" s="1"/>
  <c r="F40" i="11"/>
  <c r="H40" i="11" s="1"/>
  <c r="H39" i="11"/>
  <c r="F42" i="11" l="1"/>
  <c r="E43" i="11" l="1"/>
  <c r="F43" i="11" s="1"/>
  <c r="F44" i="11"/>
</calcChain>
</file>

<file path=xl/sharedStrings.xml><?xml version="1.0" encoding="utf-8"?>
<sst xmlns="http://schemas.openxmlformats.org/spreadsheetml/2006/main" count="70" uniqueCount="70">
  <si>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</si>
  <si>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</si>
  <si>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</si>
  <si>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</si>
  <si>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</si>
  <si>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</si>
  <si>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</si>
  <si>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</si>
  <si>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</si>
  <si>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</si>
  <si>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</si>
  <si>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</si>
  <si>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</si>
  <si>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</si>
  <si>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</si>
  <si>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</si>
  <si>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</si>
  <si>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</si>
  <si>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</si>
  <si>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</si>
  <si>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</si>
  <si>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</si>
  <si>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PHASE 1: REQUIREMENTS PLANNING</t>
  </si>
  <si>
    <t>Project Selection &amp; Topic Confirmation</t>
  </si>
  <si>
    <t>SentriZK</t>
  </si>
  <si>
    <t>MOHAMMAD AZRI BIN AZIZ</t>
  </si>
  <si>
    <t>Name</t>
  </si>
  <si>
    <t>Student ID</t>
  </si>
  <si>
    <t>Course</t>
  </si>
  <si>
    <t>BCSS</t>
  </si>
  <si>
    <t>Problem Definition ("Blind Spot" &amp; Auth Vulnerability)</t>
  </si>
  <si>
    <t>Dataset Acquisition (Phishing Logs for AI)</t>
  </si>
  <si>
    <t xml:space="preserve">Tech Stack Feasibility (SnarkJS/Flutter) </t>
  </si>
  <si>
    <t>L1 Design (User Design)</t>
  </si>
  <si>
    <t xml:space="preserve">System Architecture Design (Privacy-First) </t>
  </si>
  <si>
    <t xml:space="preserve">Wireframing: Login, Wallet, Home Screen </t>
  </si>
  <si>
    <t xml:space="preserve">Database Schema: User Identity &amp; Local Keys </t>
  </si>
  <si>
    <t>L1 Construction (Build)</t>
  </si>
  <si>
    <t xml:space="preserve">Env Setup: Flutter, Node.js, Git Repo </t>
  </si>
  <si>
    <t>Code: Splash Screen &amp; Navigation Routing</t>
  </si>
  <si>
    <t>L1 Refine (Cutover/Delivery)</t>
  </si>
  <si>
    <t>Build 30% Prototype APK (UI + Auth Flow)</t>
  </si>
  <si>
    <t>Finalize Proposal Slides &amp; Report</t>
  </si>
  <si>
    <t xml:space="preserve">Code: ZKP Authentication Flow </t>
  </si>
  <si>
    <t xml:space="preserve">FYP 1 Presentation (Idea + 30% Demo) </t>
  </si>
  <si>
    <t>RAD LOOP 2: SECURE CHAT (E2EE)</t>
  </si>
  <si>
    <t xml:space="preserve">RAD LOOP 1: AUTH &amp; UI </t>
  </si>
  <si>
    <t>L2 Design (User Design)</t>
  </si>
  <si>
    <t>Sequence Diagram: ECDH Key Exchange</t>
  </si>
  <si>
    <t>UI Update: Chat Bubbles &amp; Lock Indicators</t>
  </si>
  <si>
    <t>L2 Construction (Build)</t>
  </si>
  <si>
    <t>Code: ECDH Shared Secret Generation</t>
  </si>
  <si>
    <t>Code: AES-256 Encryption Implementation</t>
  </si>
  <si>
    <t>Code: Connect Backend (Store Encrypted Blobs)</t>
  </si>
  <si>
    <t>L2 Refine (Test)</t>
  </si>
  <si>
    <t>Integration Test: Auth + Chat Connectivity</t>
  </si>
  <si>
    <t>RAD LOOP 3: INTELLIGENCE (AI &amp; ML)</t>
  </si>
  <si>
    <t>L3 Design (User Design)</t>
  </si>
  <si>
    <t>Logic Design: Threat Scoring Thresholds</t>
  </si>
  <si>
    <t>UI Update: "Threat Detected" Pop-up Alert</t>
  </si>
  <si>
    <t>L3 Construction (Build)</t>
  </si>
  <si>
    <t>Code: Embed .tflite Model into Flutter</t>
  </si>
  <si>
    <t>Code: Real-time Text Scanning Logic</t>
  </si>
  <si>
    <t>L3 Refine (Test)</t>
  </si>
  <si>
    <t>Accuracy Test: Validate against Phishing Links</t>
  </si>
  <si>
    <t>FINAL CUTOVER (DEPLOYMENT)</t>
  </si>
  <si>
    <t>System-Wide Security Audit (Pen Test)</t>
  </si>
  <si>
    <t>Final Report Writing (Chapters 4 &amp; 5)</t>
  </si>
  <si>
    <t>Final Presentation &amp; Doc Prep</t>
  </si>
  <si>
    <t>FYP 2 Final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</si>
</sst>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11"/>
      <color theme="1"/>
      <name val="Arial"/>
      <family val="2"/>
      <scheme val="minor"/>
    </font>
    <font>
      <b/>
      <sz val="40"/>
      <color theme="3"/>
      <name val="Arial Black"/>
      <family val="2"/>
      <scheme val="major"/>
    </font>
    <font>
      <b/>
      <sz val="16"/>
      <color theme="3"/>
      <name val="Arial"/>
      <family val="2"/>
      <scheme val="minor"/>
    </font>
    <font>
      <sz val="11"/>
      <color theme="3"/>
      <name val="Arial"/>
      <family val="2"/>
      <scheme val="minor"/>
    </font>
    <font>
      <sz val="11"/>
      <color theme="9"/>
      <name val="Arial Black"/>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2" tint="-9.9978637043366805E-2"/>
        <bgColor indexed="64"/>
      </patternFill>
    </fill>
  </fills>
  <borders count="25">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4" tint="0.59996337778862885"/>
      </top>
      <bottom style="thin">
        <color theme="5" tint="0.59996337778862885"/>
      </bottom>
      <diagonal/>
    </border>
    <border>
      <left/>
      <right/>
      <top style="thin">
        <color theme="5" tint="0.59996337778862885"/>
      </top>
      <bottom style="thin">
        <color theme="6" tint="0.59996337778862885"/>
      </bottom>
      <diagonal/>
    </border>
    <border>
      <left/>
      <right/>
      <top style="thin">
        <color theme="6" tint="0.59996337778862885"/>
      </top>
      <bottom style="thin">
        <color theme="8" tint="0.59996337778862885"/>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0" applyFont="1" applyAlignment="1">
      <alignment horizontal="center"/>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4" fillId="0" borderId="11" xfId="0" applyFont="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4" fillId="0" borderId="10" xfId="0" applyFont="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4" fillId="0" borderId="0" xfId="0" applyFont="1" applyAlignment="1">
      <alignment horizontal="center" vertical="center"/>
    </xf>
    <xf numFmtId="0" fontId="1" fillId="0" borderId="0" xfId="1" applyFont="1" applyAlignment="1" applyProtection="1">
      <alignment horizontal="center" vertical="center"/>
    </xf>
    <xf numFmtId="0" fontId="0" fillId="0" borderId="0" xfId="0" applyAlignment="1">
      <alignment horizontal="center" vertical="center"/>
    </xf>
    <xf numFmtId="0" fontId="18" fillId="0" borderId="0" xfId="0" applyFont="1" applyAlignment="1">
      <alignment horizontal="center" vertical="center"/>
    </xf>
    <xf numFmtId="0" fontId="31" fillId="0" borderId="0" xfId="0" applyFont="1" applyAlignment="1">
      <alignment horizontal="center" vertical="center"/>
    </xf>
    <xf numFmtId="0" fontId="31" fillId="0" borderId="0" xfId="8" applyFont="1" applyAlignment="1">
      <alignment horizontal="center" vertical="center"/>
    </xf>
    <xf numFmtId="9" fontId="1" fillId="13" borderId="9" xfId="2" applyFont="1" applyFill="1" applyBorder="1" applyAlignment="1">
      <alignment horizontal="center" vertical="center"/>
    </xf>
    <xf numFmtId="164" fontId="19" fillId="13" borderId="9" xfId="10" applyFont="1" applyFill="1" applyBorder="1">
      <alignment horizontal="center" vertical="center"/>
    </xf>
    <xf numFmtId="0" fontId="32" fillId="0" borderId="0" xfId="5" applyFont="1" applyAlignment="1">
      <alignment horizontal="left"/>
    </xf>
    <xf numFmtId="0" fontId="19" fillId="13" borderId="9" xfId="12" applyFont="1" applyFill="1" applyBorder="1" applyAlignment="1">
      <alignment horizontal="left" vertical="center"/>
    </xf>
    <xf numFmtId="0" fontId="20" fillId="13" borderId="9" xfId="12" applyFont="1" applyFill="1" applyBorder="1" applyAlignment="1">
      <alignment horizontal="center" vertical="center"/>
    </xf>
    <xf numFmtId="0" fontId="19" fillId="13" borderId="9" xfId="12" applyFont="1" applyFill="1" applyBorder="1" applyAlignment="1">
      <alignment horizontal="center" vertical="center"/>
    </xf>
    <xf numFmtId="0" fontId="20" fillId="13" borderId="9" xfId="12" applyFont="1" applyFill="1" applyBorder="1" applyAlignment="1">
      <alignment horizontal="left" vertical="center"/>
    </xf>
    <xf numFmtId="0" fontId="19" fillId="10" borderId="9" xfId="12" applyFont="1" applyFill="1" applyBorder="1" applyAlignment="1">
      <alignment horizontal="left" vertical="center"/>
    </xf>
    <xf numFmtId="0" fontId="20" fillId="10" borderId="9" xfId="12" applyFont="1" applyFill="1" applyBorder="1" applyAlignment="1">
      <alignment horizontal="left" vertical="center"/>
    </xf>
    <xf numFmtId="0" fontId="20" fillId="10" borderId="9" xfId="12" applyFont="1" applyFill="1" applyBorder="1" applyAlignment="1">
      <alignment horizontal="center" vertical="center"/>
    </xf>
    <xf numFmtId="0" fontId="23" fillId="9" borderId="24" xfId="0" applyFont="1" applyFill="1" applyBorder="1" applyAlignment="1">
      <alignment horizontal="center" vertical="center"/>
    </xf>
    <xf numFmtId="0" fontId="19" fillId="10" borderId="9" xfId="12" applyFont="1" applyFill="1" applyBorder="1" applyAlignment="1">
      <alignment horizontal="center" vertical="center"/>
    </xf>
    <xf numFmtId="0" fontId="19" fillId="5" borderId="8" xfId="12" applyFont="1" applyFill="1" applyBorder="1" applyAlignment="1">
      <alignment horizontal="left" vertical="center"/>
    </xf>
    <xf numFmtId="0" fontId="20" fillId="5" borderId="8" xfId="12" applyFont="1" applyFill="1" applyBorder="1" applyAlignment="1">
      <alignment horizontal="center" vertical="center"/>
    </xf>
    <xf numFmtId="0" fontId="23" fillId="8" borderId="23" xfId="0" applyFont="1" applyFill="1" applyBorder="1" applyAlignment="1">
      <alignment horizontal="center" vertical="center"/>
    </xf>
    <xf numFmtId="0" fontId="19" fillId="5" borderId="8" xfId="12" applyFont="1" applyFill="1" applyBorder="1" applyAlignment="1">
      <alignment horizontal="center" vertical="center"/>
    </xf>
    <xf numFmtId="0" fontId="19" fillId="4" borderId="5" xfId="12" applyFont="1" applyFill="1" applyBorder="1" applyAlignment="1">
      <alignment horizontal="left" vertical="center"/>
    </xf>
    <xf numFmtId="0" fontId="20" fillId="4" borderId="5" xfId="12" applyFont="1" applyFill="1" applyBorder="1" applyAlignment="1">
      <alignment horizontal="center" vertical="center"/>
    </xf>
    <xf numFmtId="0" fontId="19" fillId="4" borderId="5" xfId="12" applyFont="1" applyFill="1" applyBorder="1" applyAlignment="1">
      <alignment horizontal="center" vertical="center"/>
    </xf>
    <xf numFmtId="0" fontId="19" fillId="3" borderId="7" xfId="12" applyFont="1" applyFill="1" applyBorder="1" applyAlignment="1">
      <alignment horizontal="left" vertical="center"/>
    </xf>
    <xf numFmtId="0" fontId="23" fillId="7" borderId="22" xfId="0" applyFont="1" applyFill="1" applyBorder="1" applyAlignment="1">
      <alignment horizontal="center" vertical="center"/>
    </xf>
    <xf numFmtId="0" fontId="23" fillId="6" borderId="0" xfId="0" applyFont="1" applyFill="1" applyAlignment="1">
      <alignment horizontal="center" vertical="center"/>
    </xf>
    <xf numFmtId="0" fontId="20" fillId="11" borderId="16" xfId="0" applyFont="1" applyFill="1" applyBorder="1" applyAlignment="1">
      <alignment horizontal="center" vertical="center"/>
    </xf>
    <xf numFmtId="0" fontId="20" fillId="11" borderId="21" xfId="0" applyFont="1" applyFill="1" applyBorder="1" applyAlignment="1">
      <alignment horizontal="center" vertical="center"/>
    </xf>
    <xf numFmtId="0" fontId="19" fillId="3" borderId="0" xfId="12" applyFont="1" applyFill="1" applyBorder="1" applyAlignment="1">
      <alignment horizontal="left" vertical="center"/>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35" fillId="0" borderId="0" xfId="0" applyFont="1"/>
    <xf numFmtId="0" fontId="33" fillId="0" borderId="0" xfId="8" applyFont="1" applyAlignment="1">
      <alignment horizontal="left"/>
    </xf>
    <xf numFmtId="0" fontId="34" fillId="0" borderId="0" xfId="0" applyFont="1"/>
    <xf numFmtId="0" fontId="13" fillId="0" borderId="0" xfId="3" applyAlignment="1">
      <alignment wrapText="1"/>
    </xf>
    <xf numFmtId="0" fontId="4" fillId="13" borderId="4"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53"/>
  <sheetViews>
    <sheetView showGridLines="0" tabSelected="1" showRuler="0" topLeftCell="A33" zoomScale="70" zoomScaleNormal="70" zoomScalePageLayoutView="70" workbookViewId="0">
      <selection activeCell="D34" sqref="D34"/>
    </sheetView>
  </sheetViews>
  <sheetFormatPr defaultColWidth="8.69921875" defaultRowHeight="30" customHeight="1" x14ac:dyDescent="0.25"/>
  <cols>
    <col min="1" max="1" width="2.69921875" style="13"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14"/>
      <c r="B1" s="75" t="s">
        <v>24</v>
      </c>
      <c r="C1" s="18"/>
      <c r="D1" s="19"/>
      <c r="E1" s="20"/>
      <c r="F1" s="21"/>
      <c r="H1" s="1"/>
      <c r="I1" s="106" t="s">
        <v>20</v>
      </c>
      <c r="J1" s="107"/>
      <c r="K1" s="107"/>
      <c r="L1" s="107"/>
      <c r="M1" s="107"/>
      <c r="N1" s="107"/>
      <c r="O1" s="107"/>
      <c r="P1" s="24"/>
      <c r="Q1" s="104">
        <f>DATE(2025,10,8)</f>
        <v>45938</v>
      </c>
      <c r="R1" s="105"/>
      <c r="S1" s="105"/>
      <c r="T1" s="105"/>
      <c r="U1" s="105"/>
      <c r="V1" s="105"/>
      <c r="W1" s="105"/>
      <c r="X1" s="105"/>
      <c r="Y1" s="105"/>
      <c r="Z1" s="105"/>
    </row>
    <row r="2" spans="1:64" ht="30" customHeight="1" x14ac:dyDescent="0.6">
      <c r="B2" s="58"/>
      <c r="C2" s="59"/>
      <c r="D2" s="22"/>
      <c r="E2" s="23"/>
      <c r="F2" s="22"/>
      <c r="I2" s="106" t="s">
        <v>21</v>
      </c>
      <c r="J2" s="107"/>
      <c r="K2" s="107"/>
      <c r="L2" s="107"/>
      <c r="M2" s="107"/>
      <c r="N2" s="107"/>
      <c r="O2" s="107"/>
      <c r="P2" s="24"/>
      <c r="Q2" s="102">
        <v>27</v>
      </c>
      <c r="R2" s="103"/>
      <c r="S2" s="103"/>
      <c r="T2" s="103"/>
      <c r="U2" s="103"/>
      <c r="V2" s="103"/>
      <c r="W2" s="103"/>
      <c r="X2" s="103"/>
      <c r="Y2" s="103"/>
      <c r="Z2" s="103"/>
    </row>
    <row r="3" spans="1:64" s="25" customFormat="1" ht="30" customHeight="1" x14ac:dyDescent="0.25">
      <c r="A3" s="13"/>
      <c r="B3" s="70" t="s">
        <v>26</v>
      </c>
      <c r="C3" s="71" t="s">
        <v>27</v>
      </c>
      <c r="D3" s="72" t="s">
        <v>28</v>
      </c>
      <c r="E3" s="26"/>
    </row>
    <row r="4" spans="1:64" s="25" customFormat="1" ht="30" customHeight="1" x14ac:dyDescent="0.25">
      <c r="A4" s="14"/>
      <c r="B4" s="68" t="s">
        <v>25</v>
      </c>
      <c r="C4" s="67">
        <v>52215123264</v>
      </c>
      <c r="D4" s="69" t="s">
        <v>29</v>
      </c>
      <c r="E4" s="27"/>
      <c r="I4" s="100">
        <f>I5</f>
        <v>46118</v>
      </c>
      <c r="J4" s="98"/>
      <c r="K4" s="98"/>
      <c r="L4" s="98"/>
      <c r="M4" s="98"/>
      <c r="N4" s="98"/>
      <c r="O4" s="98"/>
      <c r="P4" s="98">
        <f>P5</f>
        <v>46125</v>
      </c>
      <c r="Q4" s="98"/>
      <c r="R4" s="98"/>
      <c r="S4" s="98"/>
      <c r="T4" s="98"/>
      <c r="U4" s="98"/>
      <c r="V4" s="98"/>
      <c r="W4" s="98">
        <f>W5</f>
        <v>46132</v>
      </c>
      <c r="X4" s="98"/>
      <c r="Y4" s="98"/>
      <c r="Z4" s="98"/>
      <c r="AA4" s="98"/>
      <c r="AB4" s="98"/>
      <c r="AC4" s="98"/>
      <c r="AD4" s="98">
        <f>AD5</f>
        <v>46139</v>
      </c>
      <c r="AE4" s="98"/>
      <c r="AF4" s="98"/>
      <c r="AG4" s="98"/>
      <c r="AH4" s="98"/>
      <c r="AI4" s="98"/>
      <c r="AJ4" s="98"/>
      <c r="AK4" s="98">
        <f>AK5</f>
        <v>46146</v>
      </c>
      <c r="AL4" s="98"/>
      <c r="AM4" s="98"/>
      <c r="AN4" s="98"/>
      <c r="AO4" s="98"/>
      <c r="AP4" s="98"/>
      <c r="AQ4" s="98"/>
      <c r="AR4" s="98">
        <f>AR5</f>
        <v>46153</v>
      </c>
      <c r="AS4" s="98"/>
      <c r="AT4" s="98"/>
      <c r="AU4" s="98"/>
      <c r="AV4" s="98"/>
      <c r="AW4" s="98"/>
      <c r="AX4" s="98"/>
      <c r="AY4" s="98">
        <f>AY5</f>
        <v>46160</v>
      </c>
      <c r="AZ4" s="98"/>
      <c r="BA4" s="98"/>
      <c r="BB4" s="98"/>
      <c r="BC4" s="98"/>
      <c r="BD4" s="98"/>
      <c r="BE4" s="98"/>
      <c r="BF4" s="98">
        <f>BF5</f>
        <v>46167</v>
      </c>
      <c r="BG4" s="98"/>
      <c r="BH4" s="98"/>
      <c r="BI4" s="98"/>
      <c r="BJ4" s="98"/>
      <c r="BK4" s="98"/>
      <c r="BL4" s="99"/>
    </row>
    <row r="5" spans="1:64" s="25" customFormat="1" ht="15" customHeight="1" x14ac:dyDescent="0.25">
      <c r="A5" s="108"/>
      <c r="B5" s="95" t="s">
        <v>5</v>
      </c>
      <c r="C5" s="95"/>
      <c r="D5" s="95" t="s">
        <v>1</v>
      </c>
      <c r="E5" s="95" t="s">
        <v>3</v>
      </c>
      <c r="F5" s="95" t="s">
        <v>4</v>
      </c>
      <c r="I5" s="28">
        <f>Project_Start-WEEKDAY(Project_Start,1)+2+7*(Display_Week-1)</f>
        <v>46118</v>
      </c>
      <c r="J5" s="28">
        <f>I5+1</f>
        <v>46119</v>
      </c>
      <c r="K5" s="28">
        <f t="shared" ref="K5:AX5" si="0">J5+1</f>
        <v>46120</v>
      </c>
      <c r="L5" s="28">
        <f t="shared" si="0"/>
        <v>46121</v>
      </c>
      <c r="M5" s="28">
        <f t="shared" si="0"/>
        <v>46122</v>
      </c>
      <c r="N5" s="28">
        <f t="shared" si="0"/>
        <v>46123</v>
      </c>
      <c r="O5" s="29">
        <f t="shared" si="0"/>
        <v>46124</v>
      </c>
      <c r="P5" s="30">
        <f>O5+1</f>
        <v>46125</v>
      </c>
      <c r="Q5" s="28">
        <f>P5+1</f>
        <v>46126</v>
      </c>
      <c r="R5" s="28">
        <f t="shared" si="0"/>
        <v>46127</v>
      </c>
      <c r="S5" s="28">
        <f t="shared" si="0"/>
        <v>46128</v>
      </c>
      <c r="T5" s="28">
        <f t="shared" si="0"/>
        <v>46129</v>
      </c>
      <c r="U5" s="28">
        <f t="shared" si="0"/>
        <v>46130</v>
      </c>
      <c r="V5" s="29">
        <f t="shared" si="0"/>
        <v>46131</v>
      </c>
      <c r="W5" s="30">
        <f>V5+1</f>
        <v>46132</v>
      </c>
      <c r="X5" s="28">
        <f>W5+1</f>
        <v>46133</v>
      </c>
      <c r="Y5" s="28">
        <f t="shared" si="0"/>
        <v>46134</v>
      </c>
      <c r="Z5" s="28">
        <f t="shared" si="0"/>
        <v>46135</v>
      </c>
      <c r="AA5" s="28">
        <f t="shared" si="0"/>
        <v>46136</v>
      </c>
      <c r="AB5" s="28">
        <f t="shared" si="0"/>
        <v>46137</v>
      </c>
      <c r="AC5" s="29">
        <f t="shared" si="0"/>
        <v>46138</v>
      </c>
      <c r="AD5" s="30">
        <f>AC5+1</f>
        <v>46139</v>
      </c>
      <c r="AE5" s="28">
        <f>AD5+1</f>
        <v>46140</v>
      </c>
      <c r="AF5" s="28">
        <f t="shared" si="0"/>
        <v>46141</v>
      </c>
      <c r="AG5" s="28">
        <f t="shared" si="0"/>
        <v>46142</v>
      </c>
      <c r="AH5" s="28">
        <f t="shared" si="0"/>
        <v>46143</v>
      </c>
      <c r="AI5" s="28">
        <f t="shared" si="0"/>
        <v>46144</v>
      </c>
      <c r="AJ5" s="29">
        <f t="shared" si="0"/>
        <v>46145</v>
      </c>
      <c r="AK5" s="30">
        <f>AJ5+1</f>
        <v>46146</v>
      </c>
      <c r="AL5" s="28">
        <f>AK5+1</f>
        <v>46147</v>
      </c>
      <c r="AM5" s="28">
        <f t="shared" si="0"/>
        <v>46148</v>
      </c>
      <c r="AN5" s="28">
        <f t="shared" si="0"/>
        <v>46149</v>
      </c>
      <c r="AO5" s="28">
        <f t="shared" si="0"/>
        <v>46150</v>
      </c>
      <c r="AP5" s="28">
        <f t="shared" si="0"/>
        <v>46151</v>
      </c>
      <c r="AQ5" s="29">
        <f t="shared" si="0"/>
        <v>46152</v>
      </c>
      <c r="AR5" s="30">
        <f>AQ5+1</f>
        <v>46153</v>
      </c>
      <c r="AS5" s="28">
        <f>AR5+1</f>
        <v>46154</v>
      </c>
      <c r="AT5" s="28">
        <f t="shared" si="0"/>
        <v>46155</v>
      </c>
      <c r="AU5" s="28">
        <f t="shared" si="0"/>
        <v>46156</v>
      </c>
      <c r="AV5" s="28">
        <f t="shared" si="0"/>
        <v>46157</v>
      </c>
      <c r="AW5" s="28">
        <f t="shared" si="0"/>
        <v>46158</v>
      </c>
      <c r="AX5" s="29">
        <f t="shared" si="0"/>
        <v>46159</v>
      </c>
      <c r="AY5" s="30">
        <f>AX5+1</f>
        <v>46160</v>
      </c>
      <c r="AZ5" s="28">
        <f>AY5+1</f>
        <v>46161</v>
      </c>
      <c r="BA5" s="28">
        <f t="shared" ref="BA5:BE5" si="1">AZ5+1</f>
        <v>46162</v>
      </c>
      <c r="BB5" s="28">
        <f t="shared" si="1"/>
        <v>46163</v>
      </c>
      <c r="BC5" s="28">
        <f t="shared" si="1"/>
        <v>46164</v>
      </c>
      <c r="BD5" s="28">
        <f t="shared" si="1"/>
        <v>46165</v>
      </c>
      <c r="BE5" s="29">
        <f t="shared" si="1"/>
        <v>46166</v>
      </c>
      <c r="BF5" s="30">
        <f>BE5+1</f>
        <v>46167</v>
      </c>
      <c r="BG5" s="28">
        <f>BF5+1</f>
        <v>46168</v>
      </c>
      <c r="BH5" s="28">
        <f t="shared" ref="BH5:BL5" si="2">BG5+1</f>
        <v>46169</v>
      </c>
      <c r="BI5" s="28">
        <f t="shared" si="2"/>
        <v>46170</v>
      </c>
      <c r="BJ5" s="28">
        <f t="shared" si="2"/>
        <v>46171</v>
      </c>
      <c r="BK5" s="28">
        <f t="shared" si="2"/>
        <v>46172</v>
      </c>
      <c r="BL5" s="28">
        <f t="shared" si="2"/>
        <v>46173</v>
      </c>
    </row>
    <row r="6" spans="1:64" s="25" customFormat="1" ht="15" customHeight="1" thickBot="1" x14ac:dyDescent="0.3">
      <c r="A6" s="108"/>
      <c r="B6" s="96"/>
      <c r="C6" s="96"/>
      <c r="D6" s="101"/>
      <c r="E6" s="101"/>
      <c r="F6" s="101"/>
      <c r="I6" s="31" t="str">
        <f t="shared" ref="I6:AN6" si="3">LEFT(TEXT(I5,"ddd"),1)</f>
        <v>M</v>
      </c>
      <c r="J6" s="32" t="str">
        <f t="shared" si="3"/>
        <v>T</v>
      </c>
      <c r="K6" s="32" t="str">
        <f t="shared" si="3"/>
        <v>W</v>
      </c>
      <c r="L6" s="32" t="str">
        <f t="shared" si="3"/>
        <v>T</v>
      </c>
      <c r="M6" s="32" t="str">
        <f t="shared" si="3"/>
        <v>F</v>
      </c>
      <c r="N6" s="32" t="str">
        <f t="shared" si="3"/>
        <v>S</v>
      </c>
      <c r="O6" s="32" t="str">
        <f t="shared" si="3"/>
        <v>S</v>
      </c>
      <c r="P6" s="32" t="str">
        <f t="shared" si="3"/>
        <v>M</v>
      </c>
      <c r="Q6" s="32" t="str">
        <f t="shared" si="3"/>
        <v>T</v>
      </c>
      <c r="R6" s="32" t="str">
        <f t="shared" si="3"/>
        <v>W</v>
      </c>
      <c r="S6" s="32" t="str">
        <f t="shared" si="3"/>
        <v>T</v>
      </c>
      <c r="T6" s="32" t="str">
        <f t="shared" si="3"/>
        <v>F</v>
      </c>
      <c r="U6" s="32" t="str">
        <f t="shared" si="3"/>
        <v>S</v>
      </c>
      <c r="V6" s="32" t="str">
        <f t="shared" si="3"/>
        <v>S</v>
      </c>
      <c r="W6" s="32" t="str">
        <f t="shared" si="3"/>
        <v>M</v>
      </c>
      <c r="X6" s="32" t="str">
        <f t="shared" si="3"/>
        <v>T</v>
      </c>
      <c r="Y6" s="32" t="str">
        <f t="shared" si="3"/>
        <v>W</v>
      </c>
      <c r="Z6" s="32" t="str">
        <f t="shared" si="3"/>
        <v>T</v>
      </c>
      <c r="AA6" s="32" t="str">
        <f t="shared" si="3"/>
        <v>F</v>
      </c>
      <c r="AB6" s="32" t="str">
        <f t="shared" si="3"/>
        <v>S</v>
      </c>
      <c r="AC6" s="32" t="str">
        <f t="shared" si="3"/>
        <v>S</v>
      </c>
      <c r="AD6" s="32" t="str">
        <f t="shared" si="3"/>
        <v>M</v>
      </c>
      <c r="AE6" s="32" t="str">
        <f t="shared" si="3"/>
        <v>T</v>
      </c>
      <c r="AF6" s="32" t="str">
        <f t="shared" si="3"/>
        <v>W</v>
      </c>
      <c r="AG6" s="32" t="str">
        <f t="shared" si="3"/>
        <v>T</v>
      </c>
      <c r="AH6" s="32" t="str">
        <f t="shared" si="3"/>
        <v>F</v>
      </c>
      <c r="AI6" s="32" t="str">
        <f t="shared" si="3"/>
        <v>S</v>
      </c>
      <c r="AJ6" s="32" t="str">
        <f t="shared" si="3"/>
        <v>S</v>
      </c>
      <c r="AK6" s="32" t="str">
        <f t="shared" si="3"/>
        <v>M</v>
      </c>
      <c r="AL6" s="32" t="str">
        <f t="shared" si="3"/>
        <v>T</v>
      </c>
      <c r="AM6" s="32" t="str">
        <f t="shared" si="3"/>
        <v>W</v>
      </c>
      <c r="AN6" s="32" t="str">
        <f t="shared" si="3"/>
        <v>T</v>
      </c>
      <c r="AO6" s="32" t="str">
        <f t="shared" ref="AO6:BL6" si="4">LEFT(TEXT(AO5,"ddd"),1)</f>
        <v>F</v>
      </c>
      <c r="AP6" s="32" t="str">
        <f t="shared" si="4"/>
        <v>S</v>
      </c>
      <c r="AQ6" s="32" t="str">
        <f t="shared" si="4"/>
        <v>S</v>
      </c>
      <c r="AR6" s="32" t="str">
        <f t="shared" si="4"/>
        <v>M</v>
      </c>
      <c r="AS6" s="32" t="str">
        <f t="shared" si="4"/>
        <v>T</v>
      </c>
      <c r="AT6" s="32" t="str">
        <f t="shared" si="4"/>
        <v>W</v>
      </c>
      <c r="AU6" s="32" t="str">
        <f t="shared" si="4"/>
        <v>T</v>
      </c>
      <c r="AV6" s="32" t="str">
        <f t="shared" si="4"/>
        <v>F</v>
      </c>
      <c r="AW6" s="32" t="str">
        <f t="shared" si="4"/>
        <v>S</v>
      </c>
      <c r="AX6" s="32" t="str">
        <f t="shared" si="4"/>
        <v>S</v>
      </c>
      <c r="AY6" s="32" t="str">
        <f t="shared" si="4"/>
        <v>M</v>
      </c>
      <c r="AZ6" s="32" t="str">
        <f t="shared" si="4"/>
        <v>T</v>
      </c>
      <c r="BA6" s="32" t="str">
        <f t="shared" si="4"/>
        <v>W</v>
      </c>
      <c r="BB6" s="32" t="str">
        <f t="shared" si="4"/>
        <v>T</v>
      </c>
      <c r="BC6" s="32" t="str">
        <f t="shared" si="4"/>
        <v>F</v>
      </c>
      <c r="BD6" s="32" t="str">
        <f t="shared" si="4"/>
        <v>S</v>
      </c>
      <c r="BE6" s="32" t="str">
        <f t="shared" si="4"/>
        <v>S</v>
      </c>
      <c r="BF6" s="32" t="str">
        <f t="shared" si="4"/>
        <v>M</v>
      </c>
      <c r="BG6" s="32" t="str">
        <f t="shared" si="4"/>
        <v>T</v>
      </c>
      <c r="BH6" s="32" t="str">
        <f t="shared" si="4"/>
        <v>W</v>
      </c>
      <c r="BI6" s="32" t="str">
        <f t="shared" si="4"/>
        <v>T</v>
      </c>
      <c r="BJ6" s="32" t="str">
        <f t="shared" si="4"/>
        <v>F</v>
      </c>
      <c r="BK6" s="32" t="str">
        <f t="shared" si="4"/>
        <v>S</v>
      </c>
      <c r="BL6" s="33" t="str">
        <f t="shared" si="4"/>
        <v>S</v>
      </c>
    </row>
    <row r="7" spans="1:64" s="25" customFormat="1" ht="30" hidden="1" customHeight="1" thickBot="1" x14ac:dyDescent="0.3">
      <c r="A7" s="13" t="s">
        <v>19</v>
      </c>
      <c r="B7" s="34"/>
      <c r="C7" s="35"/>
      <c r="D7" s="34"/>
      <c r="E7" s="34"/>
      <c r="F7" s="34"/>
      <c r="H7" s="25" t="str">
        <f>IF(OR(ISBLANK(task_start),ISBLANK(task_end)),"",task_end-task_start+1)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spans="1:64" s="38" customFormat="1" ht="30" customHeight="1" thickBot="1" x14ac:dyDescent="0.3">
      <c r="A8" s="14"/>
      <c r="B8" s="94" t="s">
        <v>22</v>
      </c>
      <c r="C8" s="94"/>
      <c r="D8" s="94"/>
      <c r="E8" s="94"/>
      <c r="F8" s="94"/>
      <c r="G8" s="17"/>
      <c r="H8" s="5" t="str">
        <f t="shared" ref="H8:H50" si="5">IF(OR(ISBLANK(task_start),ISBLANK(task_end)),"",task_end-task_start+1)</f>
        <v/>
      </c>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64" s="38" customFormat="1" ht="30" customHeight="1" thickBot="1" x14ac:dyDescent="0.3">
      <c r="A9" s="14"/>
      <c r="B9" s="97" t="s">
        <v>23</v>
      </c>
      <c r="C9" s="97"/>
      <c r="D9" s="39">
        <v>1</v>
      </c>
      <c r="E9" s="40">
        <f>Project_Start</f>
        <v>45938</v>
      </c>
      <c r="F9" s="40">
        <f>E9+6</f>
        <v>45944</v>
      </c>
      <c r="G9" s="17"/>
      <c r="H9" s="5">
        <f t="shared" si="5"/>
        <v>7</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row>
    <row r="10" spans="1:64" s="38" customFormat="1" ht="30" customHeight="1" thickBot="1" x14ac:dyDescent="0.3">
      <c r="A10" s="14"/>
      <c r="B10" s="97" t="s">
        <v>30</v>
      </c>
      <c r="C10" s="97"/>
      <c r="D10" s="39">
        <v>1</v>
      </c>
      <c r="E10" s="42">
        <f>F9+1</f>
        <v>45945</v>
      </c>
      <c r="F10" s="42">
        <f>E10+6</f>
        <v>45951</v>
      </c>
      <c r="G10" s="17"/>
      <c r="H10" s="5">
        <f t="shared" si="5"/>
        <v>7</v>
      </c>
      <c r="I10" s="41"/>
      <c r="J10" s="41"/>
      <c r="K10" s="41"/>
      <c r="L10" s="41"/>
      <c r="M10" s="41"/>
      <c r="N10" s="41"/>
      <c r="O10" s="41"/>
      <c r="P10" s="41"/>
      <c r="Q10" s="41"/>
      <c r="R10" s="41"/>
      <c r="S10" s="41"/>
      <c r="T10" s="41"/>
      <c r="U10" s="43"/>
      <c r="V10" s="43"/>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row>
    <row r="11" spans="1:64" s="38" customFormat="1" ht="30" customHeight="1" thickBot="1" x14ac:dyDescent="0.3">
      <c r="A11" s="13"/>
      <c r="B11" s="97" t="s">
        <v>31</v>
      </c>
      <c r="C11" s="97"/>
      <c r="D11" s="39">
        <v>1</v>
      </c>
      <c r="E11" s="42">
        <f>F10+1</f>
        <v>45952</v>
      </c>
      <c r="F11" s="42">
        <f>E11+6</f>
        <v>45958</v>
      </c>
      <c r="G11" s="17"/>
      <c r="H11" s="5">
        <f t="shared" si="5"/>
        <v>7</v>
      </c>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row>
    <row r="12" spans="1:64" s="38" customFormat="1" ht="30" customHeight="1" thickBot="1" x14ac:dyDescent="0.3">
      <c r="A12" s="13"/>
      <c r="B12" s="92" t="s">
        <v>32</v>
      </c>
      <c r="C12" s="92"/>
      <c r="D12" s="39">
        <v>1</v>
      </c>
      <c r="E12" s="42">
        <f>F11+1</f>
        <v>45959</v>
      </c>
      <c r="F12" s="42">
        <f>E12+6</f>
        <v>45965</v>
      </c>
      <c r="G12" s="17"/>
      <c r="H12" s="5">
        <f t="shared" si="5"/>
        <v>7</v>
      </c>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row>
    <row r="13" spans="1:64" s="38" customFormat="1" ht="30" customHeight="1" thickBot="1" x14ac:dyDescent="0.3">
      <c r="A13" s="14"/>
      <c r="B13" s="93" t="s">
        <v>46</v>
      </c>
      <c r="C13" s="93"/>
      <c r="D13" s="93"/>
      <c r="E13" s="93"/>
      <c r="F13" s="93"/>
      <c r="G13" s="17"/>
      <c r="H13" s="5" t="str">
        <f t="shared" si="5"/>
        <v/>
      </c>
    </row>
    <row r="14" spans="1:64" s="38" customFormat="1" ht="30" customHeight="1" thickBot="1" x14ac:dyDescent="0.3">
      <c r="A14" s="14"/>
      <c r="B14" s="90" t="s">
        <v>33</v>
      </c>
      <c r="C14" s="91"/>
      <c r="D14" s="44">
        <v>1</v>
      </c>
      <c r="E14" s="45">
        <f>F12+1</f>
        <v>45966</v>
      </c>
      <c r="F14" s="45">
        <f>E14+27</f>
        <v>45993</v>
      </c>
      <c r="G14" s="17"/>
      <c r="H14" s="5">
        <f t="shared" si="5"/>
        <v>28</v>
      </c>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row>
    <row r="15" spans="1:64" s="38" customFormat="1" ht="30" customHeight="1" thickBot="1" x14ac:dyDescent="0.3">
      <c r="A15" s="13"/>
      <c r="B15" s="89" t="s">
        <v>34</v>
      </c>
      <c r="C15" s="89"/>
      <c r="D15" s="44">
        <v>1</v>
      </c>
      <c r="E15" s="45">
        <f>E14</f>
        <v>45966</v>
      </c>
      <c r="F15" s="45">
        <f>E15+9</f>
        <v>45975</v>
      </c>
      <c r="G15" s="17"/>
      <c r="H15" s="5">
        <f t="shared" si="5"/>
        <v>10</v>
      </c>
      <c r="I15" s="41"/>
      <c r="J15" s="41"/>
      <c r="K15" s="41"/>
      <c r="L15" s="41"/>
      <c r="M15" s="41"/>
      <c r="N15" s="41"/>
      <c r="O15" s="41"/>
      <c r="P15" s="41"/>
      <c r="Q15" s="41"/>
      <c r="R15" s="41"/>
      <c r="S15" s="41"/>
      <c r="T15" s="41"/>
      <c r="U15" s="43"/>
      <c r="V15" s="43"/>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row>
    <row r="16" spans="1:64" s="38" customFormat="1" ht="30" customHeight="1" thickBot="1" x14ac:dyDescent="0.3">
      <c r="A16" s="13"/>
      <c r="B16" s="89" t="s">
        <v>35</v>
      </c>
      <c r="C16" s="89"/>
      <c r="D16" s="44">
        <v>1</v>
      </c>
      <c r="E16" s="45">
        <f>F15+1</f>
        <v>45976</v>
      </c>
      <c r="F16" s="45">
        <f>E16+10</f>
        <v>45986</v>
      </c>
      <c r="G16" s="17"/>
      <c r="H16" s="5">
        <f t="shared" si="5"/>
        <v>11</v>
      </c>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row>
    <row r="17" spans="1:64" s="38" customFormat="1" ht="30" customHeight="1" thickBot="1" x14ac:dyDescent="0.3">
      <c r="A17" s="13"/>
      <c r="B17" s="89" t="s">
        <v>36</v>
      </c>
      <c r="C17" s="89"/>
      <c r="D17" s="44">
        <v>1</v>
      </c>
      <c r="E17" s="45">
        <f>F16+1</f>
        <v>45987</v>
      </c>
      <c r="F17" s="45">
        <f>E17+6</f>
        <v>45993</v>
      </c>
      <c r="G17" s="17"/>
      <c r="H17" s="5">
        <f t="shared" si="5"/>
        <v>7</v>
      </c>
      <c r="I17" s="41"/>
      <c r="J17" s="41"/>
      <c r="K17" s="41"/>
      <c r="L17" s="41"/>
      <c r="M17" s="41"/>
      <c r="N17" s="41"/>
      <c r="O17" s="41"/>
      <c r="P17" s="41"/>
      <c r="Q17" s="41"/>
      <c r="R17" s="41"/>
      <c r="S17" s="41"/>
      <c r="T17" s="41"/>
      <c r="U17" s="41"/>
      <c r="V17" s="41"/>
      <c r="W17" s="41"/>
      <c r="X17" s="41"/>
      <c r="Y17" s="43"/>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row>
    <row r="18" spans="1:64" s="38" customFormat="1" ht="30" customHeight="1" thickBot="1" x14ac:dyDescent="0.3">
      <c r="A18" s="13"/>
      <c r="B18" s="90" t="s">
        <v>37</v>
      </c>
      <c r="C18" s="91"/>
      <c r="D18" s="44">
        <v>1</v>
      </c>
      <c r="E18" s="45">
        <f>F17+1</f>
        <v>45994</v>
      </c>
      <c r="F18" s="45">
        <f>E18+25</f>
        <v>46019</v>
      </c>
      <c r="G18" s="17"/>
      <c r="H18" s="5"/>
      <c r="I18" s="41"/>
      <c r="J18" s="41"/>
      <c r="K18" s="41"/>
      <c r="L18" s="41"/>
      <c r="M18" s="41"/>
      <c r="N18" s="41"/>
      <c r="O18" s="41"/>
      <c r="P18" s="41"/>
      <c r="Q18" s="41"/>
      <c r="R18" s="41"/>
      <c r="S18" s="41"/>
      <c r="T18" s="41"/>
      <c r="U18" s="41"/>
      <c r="V18" s="41"/>
      <c r="W18" s="41"/>
      <c r="X18" s="41"/>
      <c r="Y18" s="43"/>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row>
    <row r="19" spans="1:64" s="38" customFormat="1" ht="30" customHeight="1" thickBot="1" x14ac:dyDescent="0.3">
      <c r="A19" s="13"/>
      <c r="B19" s="89" t="s">
        <v>38</v>
      </c>
      <c r="C19" s="89"/>
      <c r="D19" s="44">
        <v>1</v>
      </c>
      <c r="E19" s="45">
        <f>E18</f>
        <v>45994</v>
      </c>
      <c r="F19" s="45">
        <f>E19+6</f>
        <v>46000</v>
      </c>
      <c r="G19" s="17"/>
      <c r="H19" s="5"/>
      <c r="I19" s="41"/>
      <c r="J19" s="41"/>
      <c r="K19" s="41"/>
      <c r="L19" s="41"/>
      <c r="M19" s="41"/>
      <c r="N19" s="41"/>
      <c r="O19" s="41"/>
      <c r="P19" s="41"/>
      <c r="Q19" s="41"/>
      <c r="R19" s="41"/>
      <c r="S19" s="41"/>
      <c r="T19" s="41"/>
      <c r="U19" s="41"/>
      <c r="V19" s="41"/>
      <c r="W19" s="41"/>
      <c r="X19" s="41"/>
      <c r="Y19" s="43"/>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row>
    <row r="20" spans="1:64" s="38" customFormat="1" ht="30" customHeight="1" thickBot="1" x14ac:dyDescent="0.3">
      <c r="A20" s="13"/>
      <c r="B20" s="89" t="s">
        <v>39</v>
      </c>
      <c r="C20" s="89"/>
      <c r="D20" s="44">
        <v>1</v>
      </c>
      <c r="E20" s="45">
        <f t="shared" ref="E20:E23" si="6">F19+1</f>
        <v>46001</v>
      </c>
      <c r="F20" s="45">
        <f>E20+6</f>
        <v>46007</v>
      </c>
      <c r="G20" s="17"/>
      <c r="H20" s="5"/>
      <c r="I20" s="41"/>
      <c r="J20" s="41"/>
      <c r="K20" s="41"/>
      <c r="L20" s="41"/>
      <c r="M20" s="41"/>
      <c r="N20" s="41"/>
      <c r="O20" s="41"/>
      <c r="P20" s="41"/>
      <c r="Q20" s="41"/>
      <c r="R20" s="41"/>
      <c r="S20" s="41"/>
      <c r="T20" s="41"/>
      <c r="U20" s="41"/>
      <c r="V20" s="41"/>
      <c r="W20" s="41"/>
      <c r="X20" s="41"/>
      <c r="Y20" s="43"/>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row>
    <row r="21" spans="1:64" s="38" customFormat="1" ht="30" customHeight="1" thickBot="1" x14ac:dyDescent="0.3">
      <c r="A21" s="13"/>
      <c r="B21" s="89" t="s">
        <v>43</v>
      </c>
      <c r="C21" s="89"/>
      <c r="D21" s="44">
        <v>1</v>
      </c>
      <c r="E21" s="45">
        <f t="shared" si="6"/>
        <v>46008</v>
      </c>
      <c r="F21" s="45">
        <f>E21+11</f>
        <v>46019</v>
      </c>
      <c r="G21" s="17"/>
      <c r="H21" s="5"/>
      <c r="I21" s="41"/>
      <c r="J21" s="41"/>
      <c r="K21" s="41"/>
      <c r="L21" s="41"/>
      <c r="M21" s="41"/>
      <c r="N21" s="41"/>
      <c r="O21" s="41"/>
      <c r="P21" s="41"/>
      <c r="Q21" s="41"/>
      <c r="R21" s="41"/>
      <c r="S21" s="41"/>
      <c r="T21" s="41"/>
      <c r="U21" s="41"/>
      <c r="V21" s="41"/>
      <c r="W21" s="41"/>
      <c r="X21" s="41"/>
      <c r="Y21" s="43"/>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row>
    <row r="22" spans="1:64" s="38" customFormat="1" ht="30" customHeight="1" thickBot="1" x14ac:dyDescent="0.3">
      <c r="A22" s="13"/>
      <c r="B22" s="90" t="s">
        <v>40</v>
      </c>
      <c r="C22" s="91"/>
      <c r="D22" s="44">
        <v>1</v>
      </c>
      <c r="E22" s="45">
        <f>F21+1</f>
        <v>46020</v>
      </c>
      <c r="F22" s="45">
        <f>E22+10</f>
        <v>46030</v>
      </c>
      <c r="G22" s="17"/>
      <c r="H22" s="5"/>
      <c r="I22" s="41"/>
      <c r="J22" s="41"/>
      <c r="K22" s="41"/>
      <c r="L22" s="41"/>
      <c r="M22" s="41"/>
      <c r="N22" s="41"/>
      <c r="O22" s="41"/>
      <c r="P22" s="41"/>
      <c r="Q22" s="41"/>
      <c r="R22" s="41"/>
      <c r="S22" s="41"/>
      <c r="T22" s="41"/>
      <c r="U22" s="41"/>
      <c r="V22" s="41"/>
      <c r="W22" s="41"/>
      <c r="X22" s="41"/>
      <c r="Y22" s="43"/>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row>
    <row r="23" spans="1:64" s="38" customFormat="1" ht="30" customHeight="1" thickBot="1" x14ac:dyDescent="0.3">
      <c r="A23" s="13"/>
      <c r="B23" s="89" t="s">
        <v>41</v>
      </c>
      <c r="C23" s="89"/>
      <c r="D23" s="44">
        <v>1</v>
      </c>
      <c r="E23" s="45">
        <f t="shared" si="6"/>
        <v>46031</v>
      </c>
      <c r="F23" s="45">
        <f t="shared" ref="F23" si="7">E23+25</f>
        <v>46056</v>
      </c>
      <c r="G23" s="17"/>
      <c r="H23" s="5"/>
      <c r="I23" s="41"/>
      <c r="J23" s="41"/>
      <c r="K23" s="41"/>
      <c r="L23" s="41"/>
      <c r="M23" s="41"/>
      <c r="N23" s="41"/>
      <c r="O23" s="41"/>
      <c r="P23" s="41"/>
      <c r="Q23" s="41"/>
      <c r="R23" s="41"/>
      <c r="S23" s="41"/>
      <c r="T23" s="41"/>
      <c r="U23" s="41"/>
      <c r="V23" s="41"/>
      <c r="W23" s="41"/>
      <c r="X23" s="41"/>
      <c r="Y23" s="43"/>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row>
    <row r="24" spans="1:64" s="38" customFormat="1" ht="30" customHeight="1" thickBot="1" x14ac:dyDescent="0.3">
      <c r="A24" s="13"/>
      <c r="B24" s="89" t="s">
        <v>42</v>
      </c>
      <c r="C24" s="89"/>
      <c r="D24" s="44">
        <v>1</v>
      </c>
      <c r="E24" s="45">
        <f>F22+1</f>
        <v>46031</v>
      </c>
      <c r="F24" s="45">
        <f>E24+8</f>
        <v>46039</v>
      </c>
      <c r="G24" s="17"/>
      <c r="H24" s="5"/>
      <c r="I24" s="41"/>
      <c r="J24" s="41"/>
      <c r="K24" s="41"/>
      <c r="L24" s="41"/>
      <c r="M24" s="41"/>
      <c r="N24" s="41"/>
      <c r="O24" s="41"/>
      <c r="P24" s="41"/>
      <c r="Q24" s="41"/>
      <c r="R24" s="41"/>
      <c r="S24" s="41"/>
      <c r="T24" s="41"/>
      <c r="U24" s="41"/>
      <c r="V24" s="41"/>
      <c r="W24" s="41"/>
      <c r="X24" s="41"/>
      <c r="Y24" s="43"/>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row>
    <row r="25" spans="1:64" s="38" customFormat="1" ht="30" customHeight="1" thickBot="1" x14ac:dyDescent="0.3">
      <c r="A25" s="13"/>
      <c r="B25" s="89" t="s">
        <v>44</v>
      </c>
      <c r="C25" s="89"/>
      <c r="D25" s="44">
        <v>1</v>
      </c>
      <c r="E25" s="45">
        <f>F24+1</f>
        <v>46040</v>
      </c>
      <c r="F25" s="45">
        <f>E25+12</f>
        <v>46052</v>
      </c>
      <c r="G25" s="17"/>
      <c r="H25" s="5">
        <f t="shared" si="5"/>
        <v>13</v>
      </c>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row>
    <row r="26" spans="1:64" s="38" customFormat="1" ht="30" customHeight="1" thickBot="1" x14ac:dyDescent="0.3">
      <c r="A26" s="13"/>
      <c r="B26" s="87" t="s">
        <v>45</v>
      </c>
      <c r="C26" s="87"/>
      <c r="D26" s="87"/>
      <c r="E26" s="87"/>
      <c r="F26" s="87"/>
      <c r="G26" s="17"/>
      <c r="H26" s="5" t="str">
        <f t="shared" si="5"/>
        <v/>
      </c>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row>
    <row r="27" spans="1:64" s="38" customFormat="1" ht="30" customHeight="1" thickBot="1" x14ac:dyDescent="0.3">
      <c r="A27" s="13"/>
      <c r="B27" s="86" t="s">
        <v>47</v>
      </c>
      <c r="C27" s="88"/>
      <c r="D27" s="47">
        <v>0</v>
      </c>
      <c r="E27" s="48">
        <f>F25+31</f>
        <v>46083</v>
      </c>
      <c r="F27" s="48">
        <f>E27+6</f>
        <v>46089</v>
      </c>
      <c r="G27" s="17"/>
      <c r="H27" s="5">
        <f t="shared" si="5"/>
        <v>7</v>
      </c>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row>
    <row r="28" spans="1:64" s="38" customFormat="1" ht="30" customHeight="1" thickBot="1" x14ac:dyDescent="0.3">
      <c r="A28" s="13"/>
      <c r="B28" s="85" t="s">
        <v>48</v>
      </c>
      <c r="C28" s="85"/>
      <c r="D28" s="47">
        <v>0</v>
      </c>
      <c r="E28" s="48">
        <f>E27</f>
        <v>46083</v>
      </c>
      <c r="F28" s="48">
        <f>E28+3</f>
        <v>46086</v>
      </c>
      <c r="G28" s="17"/>
      <c r="H28" s="5">
        <f t="shared" si="5"/>
        <v>4</v>
      </c>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row>
    <row r="29" spans="1:64" s="38" customFormat="1" ht="30" customHeight="1" thickBot="1" x14ac:dyDescent="0.3">
      <c r="A29" s="13"/>
      <c r="B29" s="85" t="s">
        <v>49</v>
      </c>
      <c r="C29" s="85"/>
      <c r="D29" s="47">
        <v>0</v>
      </c>
      <c r="E29" s="48">
        <f>F28+1</f>
        <v>46087</v>
      </c>
      <c r="F29" s="48">
        <f>E29+2</f>
        <v>46089</v>
      </c>
      <c r="G29" s="17"/>
      <c r="H29" s="5">
        <f t="shared" si="5"/>
        <v>3</v>
      </c>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row>
    <row r="30" spans="1:64" s="38" customFormat="1" ht="30" customHeight="1" thickBot="1" x14ac:dyDescent="0.3">
      <c r="A30" s="13"/>
      <c r="B30" s="86" t="s">
        <v>50</v>
      </c>
      <c r="C30" s="88"/>
      <c r="D30" s="47">
        <v>0</v>
      </c>
      <c r="E30" s="48">
        <f>F29+1</f>
        <v>46090</v>
      </c>
      <c r="F30" s="48">
        <f>E30+20</f>
        <v>46110</v>
      </c>
      <c r="G30" s="17"/>
      <c r="H30" s="5">
        <f t="shared" si="5"/>
        <v>21</v>
      </c>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row>
    <row r="31" spans="1:64" s="38" customFormat="1" ht="30" customHeight="1" thickBot="1" x14ac:dyDescent="0.3">
      <c r="A31" s="13"/>
      <c r="B31" s="85" t="s">
        <v>51</v>
      </c>
      <c r="C31" s="85"/>
      <c r="D31" s="47">
        <v>0</v>
      </c>
      <c r="E31" s="48">
        <f>E30</f>
        <v>46090</v>
      </c>
      <c r="F31" s="48">
        <f>E31+6</f>
        <v>46096</v>
      </c>
      <c r="G31" s="17"/>
      <c r="H31" s="5"/>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row>
    <row r="32" spans="1:64" s="38" customFormat="1" ht="30" customHeight="1" thickBot="1" x14ac:dyDescent="0.3">
      <c r="A32" s="13"/>
      <c r="B32" s="85" t="s">
        <v>52</v>
      </c>
      <c r="C32" s="85"/>
      <c r="D32" s="47">
        <v>0</v>
      </c>
      <c r="E32" s="48">
        <f t="shared" ref="E32:E34" si="8">F31+1</f>
        <v>46097</v>
      </c>
      <c r="F32" s="48">
        <f>E32+6</f>
        <v>46103</v>
      </c>
      <c r="G32" s="17"/>
      <c r="H32" s="5"/>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row>
    <row r="33" spans="1:64" s="38" customFormat="1" ht="30" customHeight="1" thickBot="1" x14ac:dyDescent="0.3">
      <c r="A33" s="13"/>
      <c r="B33" s="85" t="s">
        <v>53</v>
      </c>
      <c r="C33" s="85"/>
      <c r="D33" s="47">
        <v>0</v>
      </c>
      <c r="E33" s="48">
        <f t="shared" si="8"/>
        <v>46104</v>
      </c>
      <c r="F33" s="48">
        <f>E33+6</f>
        <v>46110</v>
      </c>
      <c r="G33" s="17"/>
      <c r="H33" s="5"/>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row>
    <row r="34" spans="1:64" s="38" customFormat="1" ht="30" customHeight="1" thickBot="1" x14ac:dyDescent="0.3">
      <c r="A34" s="13"/>
      <c r="B34" s="86" t="s">
        <v>54</v>
      </c>
      <c r="C34" s="86"/>
      <c r="D34" s="47">
        <v>0</v>
      </c>
      <c r="E34" s="48">
        <f t="shared" si="8"/>
        <v>46111</v>
      </c>
      <c r="F34" s="48">
        <f>E34+6</f>
        <v>46117</v>
      </c>
      <c r="G34" s="17"/>
      <c r="H34" s="5"/>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row>
    <row r="35" spans="1:64" s="38" customFormat="1" ht="30" customHeight="1" thickBot="1" x14ac:dyDescent="0.3">
      <c r="A35" s="13"/>
      <c r="B35" s="85" t="s">
        <v>55</v>
      </c>
      <c r="C35" s="85"/>
      <c r="D35" s="47">
        <v>0</v>
      </c>
      <c r="E35" s="48">
        <f>E34</f>
        <v>46111</v>
      </c>
      <c r="F35" s="48">
        <f>F34</f>
        <v>46117</v>
      </c>
      <c r="G35" s="17"/>
      <c r="H35" s="5">
        <f t="shared" si="5"/>
        <v>7</v>
      </c>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row>
    <row r="36" spans="1:64" s="38" customFormat="1" ht="30" customHeight="1" thickBot="1" x14ac:dyDescent="0.3">
      <c r="A36" s="13"/>
      <c r="B36" s="83" t="s">
        <v>56</v>
      </c>
      <c r="C36" s="83"/>
      <c r="D36" s="83"/>
      <c r="E36" s="83"/>
      <c r="F36" s="83"/>
      <c r="G36" s="17"/>
      <c r="H36" s="5" t="str">
        <f t="shared" si="5"/>
        <v/>
      </c>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row>
    <row r="37" spans="1:64" s="38" customFormat="1" ht="30" customHeight="1" thickBot="1" x14ac:dyDescent="0.3">
      <c r="A37" s="13"/>
      <c r="B37" s="82" t="s">
        <v>57</v>
      </c>
      <c r="C37" s="84"/>
      <c r="D37" s="50">
        <v>0</v>
      </c>
      <c r="E37" s="51">
        <f>F35+1</f>
        <v>46118</v>
      </c>
      <c r="F37" s="51">
        <f>E37+6</f>
        <v>46124</v>
      </c>
      <c r="G37" s="17"/>
      <c r="H37" s="5">
        <f t="shared" si="5"/>
        <v>7</v>
      </c>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row>
    <row r="38" spans="1:64" s="38" customFormat="1" ht="30" customHeight="1" thickBot="1" x14ac:dyDescent="0.3">
      <c r="A38" s="13"/>
      <c r="B38" s="80" t="s">
        <v>58</v>
      </c>
      <c r="C38" s="80"/>
      <c r="D38" s="50">
        <v>0</v>
      </c>
      <c r="E38" s="51">
        <f>E37</f>
        <v>46118</v>
      </c>
      <c r="F38" s="51">
        <f>E38+2</f>
        <v>46120</v>
      </c>
      <c r="G38" s="17"/>
      <c r="H38" s="5">
        <f t="shared" si="5"/>
        <v>3</v>
      </c>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row>
    <row r="39" spans="1:64" s="38" customFormat="1" ht="30" customHeight="1" thickBot="1" x14ac:dyDescent="0.3">
      <c r="A39" s="13"/>
      <c r="B39" s="80" t="s">
        <v>59</v>
      </c>
      <c r="C39" s="80"/>
      <c r="D39" s="50">
        <v>0</v>
      </c>
      <c r="E39" s="51">
        <f>F38+1</f>
        <v>46121</v>
      </c>
      <c r="F39" s="51">
        <f>E39+3</f>
        <v>46124</v>
      </c>
      <c r="G39" s="17"/>
      <c r="H39" s="5">
        <f t="shared" si="5"/>
        <v>4</v>
      </c>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row>
    <row r="40" spans="1:64" s="38" customFormat="1" ht="30" customHeight="1" thickBot="1" x14ac:dyDescent="0.3">
      <c r="A40" s="13"/>
      <c r="B40" s="82" t="s">
        <v>60</v>
      </c>
      <c r="C40" s="84"/>
      <c r="D40" s="50">
        <v>0</v>
      </c>
      <c r="E40" s="51">
        <f>F39+1</f>
        <v>46125</v>
      </c>
      <c r="F40" s="51">
        <f>E40+20</f>
        <v>46145</v>
      </c>
      <c r="G40" s="17"/>
      <c r="H40" s="5">
        <f t="shared" si="5"/>
        <v>21</v>
      </c>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row>
    <row r="41" spans="1:64" s="38" customFormat="1" ht="30" customHeight="1" thickBot="1" x14ac:dyDescent="0.3">
      <c r="A41" s="13"/>
      <c r="B41" s="80" t="s">
        <v>61</v>
      </c>
      <c r="C41" s="80"/>
      <c r="D41" s="50">
        <v>0</v>
      </c>
      <c r="E41" s="51">
        <f>E40</f>
        <v>46125</v>
      </c>
      <c r="F41" s="51">
        <f>E41+9</f>
        <v>46134</v>
      </c>
      <c r="G41" s="17"/>
      <c r="H41" s="5"/>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row>
    <row r="42" spans="1:64" s="38" customFormat="1" ht="30" customHeight="1" thickBot="1" x14ac:dyDescent="0.3">
      <c r="A42" s="13"/>
      <c r="B42" s="80" t="s">
        <v>62</v>
      </c>
      <c r="C42" s="81"/>
      <c r="D42" s="50">
        <v>0</v>
      </c>
      <c r="E42" s="51">
        <f t="shared" ref="E42:E43" si="9">F41+1</f>
        <v>46135</v>
      </c>
      <c r="F42" s="51">
        <f>E42+10</f>
        <v>46145</v>
      </c>
      <c r="G42" s="17"/>
      <c r="H42" s="5"/>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row>
    <row r="43" spans="1:64" s="38" customFormat="1" ht="30" customHeight="1" thickBot="1" x14ac:dyDescent="0.3">
      <c r="A43" s="13"/>
      <c r="B43" s="82" t="s">
        <v>63</v>
      </c>
      <c r="C43" s="82"/>
      <c r="D43" s="50">
        <v>0</v>
      </c>
      <c r="E43" s="51">
        <f t="shared" si="9"/>
        <v>46146</v>
      </c>
      <c r="F43" s="51">
        <f>E43+6</f>
        <v>46152</v>
      </c>
      <c r="G43" s="17"/>
      <c r="H43" s="5"/>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row>
    <row r="44" spans="1:64" s="38" customFormat="1" ht="30" customHeight="1" thickBot="1" x14ac:dyDescent="0.3">
      <c r="A44" s="13"/>
      <c r="B44" s="80" t="s">
        <v>64</v>
      </c>
      <c r="C44" s="80"/>
      <c r="D44" s="50">
        <v>0</v>
      </c>
      <c r="E44" s="51">
        <f>E42</f>
        <v>46135</v>
      </c>
      <c r="F44" s="51">
        <f>F42</f>
        <v>46145</v>
      </c>
      <c r="G44" s="17"/>
      <c r="H44" s="5"/>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row>
    <row r="45" spans="1:64" s="38" customFormat="1" ht="30" customHeight="1" thickBot="1" x14ac:dyDescent="0.3">
      <c r="A45" s="13"/>
      <c r="B45" s="77" t="s">
        <v>65</v>
      </c>
      <c r="C45" s="78"/>
      <c r="D45" s="78"/>
      <c r="E45" s="78"/>
      <c r="F45" s="78"/>
      <c r="G45" s="17"/>
      <c r="H45" s="5"/>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row>
    <row r="46" spans="1:64" s="38" customFormat="1" ht="30" customHeight="1" thickBot="1" x14ac:dyDescent="0.3">
      <c r="A46" s="13"/>
      <c r="B46" s="76" t="s">
        <v>66</v>
      </c>
      <c r="C46" s="79"/>
      <c r="D46" s="73">
        <v>0</v>
      </c>
      <c r="E46" s="74">
        <f>F44+2</f>
        <v>46147</v>
      </c>
      <c r="F46" s="74">
        <f>E46+6</f>
        <v>46153</v>
      </c>
      <c r="G46" s="17"/>
      <c r="H46" s="5"/>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109"/>
      <c r="AM46" s="109"/>
      <c r="AN46" s="109"/>
      <c r="AO46" s="109"/>
      <c r="AP46" s="109"/>
      <c r="AQ46" s="109"/>
      <c r="AR46" s="109"/>
      <c r="AS46" s="41"/>
      <c r="AT46" s="41"/>
      <c r="AU46" s="41"/>
      <c r="AV46" s="41"/>
      <c r="AW46" s="41"/>
      <c r="AX46" s="41"/>
      <c r="AY46" s="41"/>
      <c r="AZ46" s="41"/>
      <c r="BA46" s="41"/>
      <c r="BB46" s="41"/>
      <c r="BC46" s="41"/>
      <c r="BD46" s="41"/>
      <c r="BE46" s="41"/>
      <c r="BF46" s="41"/>
      <c r="BG46" s="41"/>
      <c r="BH46" s="41"/>
      <c r="BI46" s="41"/>
      <c r="BJ46" s="41"/>
      <c r="BK46" s="41"/>
      <c r="BL46" s="41"/>
    </row>
    <row r="47" spans="1:64" s="38" customFormat="1" ht="30" customHeight="1" thickBot="1" x14ac:dyDescent="0.3">
      <c r="A47" s="13"/>
      <c r="B47" s="76" t="s">
        <v>67</v>
      </c>
      <c r="C47" s="79"/>
      <c r="D47" s="73">
        <v>0</v>
      </c>
      <c r="E47" s="74">
        <f>F46+1</f>
        <v>46154</v>
      </c>
      <c r="F47" s="74">
        <f>E47+10</f>
        <v>46164</v>
      </c>
      <c r="G47" s="17"/>
      <c r="H47" s="5"/>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row>
    <row r="48" spans="1:64" s="38" customFormat="1" ht="30" customHeight="1" thickBot="1" x14ac:dyDescent="0.3">
      <c r="A48" s="13"/>
      <c r="B48" s="76" t="s">
        <v>68</v>
      </c>
      <c r="C48" s="79"/>
      <c r="D48" s="73">
        <v>0</v>
      </c>
      <c r="E48" s="74">
        <f>F47+1</f>
        <v>46165</v>
      </c>
      <c r="F48" s="74">
        <f>E48+2</f>
        <v>46167</v>
      </c>
      <c r="G48" s="17"/>
      <c r="H48" s="5"/>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row>
    <row r="49" spans="1:64" s="38" customFormat="1" ht="30" customHeight="1" thickBot="1" x14ac:dyDescent="0.3">
      <c r="A49" s="13"/>
      <c r="B49" s="76" t="s">
        <v>69</v>
      </c>
      <c r="C49" s="76"/>
      <c r="D49" s="73">
        <v>0</v>
      </c>
      <c r="E49" s="74">
        <f>F48 + 1</f>
        <v>46168</v>
      </c>
      <c r="F49" s="74">
        <f>E49+3</f>
        <v>46171</v>
      </c>
      <c r="G49" s="17"/>
      <c r="H49" s="5">
        <f>IF(OR(ISBLANK(task_start),ISBLANK(task_end)),"",task_end-task_start+1)</f>
        <v>4</v>
      </c>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109"/>
      <c r="BH49" s="109"/>
      <c r="BI49" s="109"/>
      <c r="BJ49" s="109"/>
      <c r="BK49" s="41"/>
      <c r="BL49" s="41"/>
    </row>
    <row r="50" spans="1:64" s="38" customFormat="1" ht="30" customHeight="1" thickBot="1" x14ac:dyDescent="0.3">
      <c r="A50" s="14"/>
      <c r="B50" s="52" t="s">
        <v>0</v>
      </c>
      <c r="C50" s="53"/>
      <c r="D50" s="54"/>
      <c r="E50" s="55"/>
      <c r="F50" s="56"/>
      <c r="G50" s="17"/>
      <c r="H50" s="6" t="str">
        <f t="shared" si="5"/>
        <v/>
      </c>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row>
    <row r="51" spans="1:64" ht="30" customHeight="1" x14ac:dyDescent="0.25">
      <c r="G51" s="3"/>
    </row>
    <row r="52" spans="1:64" ht="30" customHeight="1" x14ac:dyDescent="0.25">
      <c r="C52" s="16"/>
      <c r="F52" s="15"/>
    </row>
    <row r="53" spans="1:64" ht="30" customHeight="1" x14ac:dyDescent="0.25">
      <c r="C53" s="4"/>
    </row>
  </sheetData>
  <mergeCells count="59">
    <mergeCell ref="Q2:Z2"/>
    <mergeCell ref="Q1:Z1"/>
    <mergeCell ref="I1:O1"/>
    <mergeCell ref="I2:O2"/>
    <mergeCell ref="A5:A6"/>
    <mergeCell ref="D5:D6"/>
    <mergeCell ref="E5:E6"/>
    <mergeCell ref="BF4:BL4"/>
    <mergeCell ref="I4:O4"/>
    <mergeCell ref="P4:V4"/>
    <mergeCell ref="W4:AC4"/>
    <mergeCell ref="AD4:AJ4"/>
    <mergeCell ref="AK4:AQ4"/>
    <mergeCell ref="AR4:AX4"/>
    <mergeCell ref="AY4:BE4"/>
    <mergeCell ref="B8:F8"/>
    <mergeCell ref="B5:C6"/>
    <mergeCell ref="B9:C9"/>
    <mergeCell ref="B10:C10"/>
    <mergeCell ref="B11:C11"/>
    <mergeCell ref="F5:F6"/>
    <mergeCell ref="B12:C12"/>
    <mergeCell ref="B13:F13"/>
    <mergeCell ref="B14:C14"/>
    <mergeCell ref="B15:C15"/>
    <mergeCell ref="B16:C16"/>
    <mergeCell ref="B17:C17"/>
    <mergeCell ref="B25:C25"/>
    <mergeCell ref="B23:C23"/>
    <mergeCell ref="B22:C22"/>
    <mergeCell ref="B18:C18"/>
    <mergeCell ref="B19:C19"/>
    <mergeCell ref="B21:C21"/>
    <mergeCell ref="B20:C20"/>
    <mergeCell ref="B24:C24"/>
    <mergeCell ref="B26:F26"/>
    <mergeCell ref="B27:C27"/>
    <mergeCell ref="B28:C28"/>
    <mergeCell ref="B29:C29"/>
    <mergeCell ref="B30:C30"/>
    <mergeCell ref="B35:C35"/>
    <mergeCell ref="B34:C34"/>
    <mergeCell ref="B33:C33"/>
    <mergeCell ref="B31:C31"/>
    <mergeCell ref="B32:C32"/>
    <mergeCell ref="B41:C41"/>
    <mergeCell ref="B42:C42"/>
    <mergeCell ref="B43:C43"/>
    <mergeCell ref="B44:C44"/>
    <mergeCell ref="B36:F36"/>
    <mergeCell ref="B37:C37"/>
    <mergeCell ref="B38:C38"/>
    <mergeCell ref="B39:C39"/>
    <mergeCell ref="B40:C40"/>
    <mergeCell ref="B49:C49"/>
    <mergeCell ref="B45:F45"/>
    <mergeCell ref="B46:C46"/>
    <mergeCell ref="B47:C47"/>
    <mergeCell ref="B48:C48"/>
  </mergeCells>
  <conditionalFormatting sqref="D9:D12 D7 D14:D25 D27:D35 D37:D44 D50">
    <cfRule type="dataBar" priority="24">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D46:D49">
    <cfRule type="dataBar" priority="1">
      <dataBar>
        <cfvo type="num" val="0"/>
        <cfvo type="num" val="1"/>
        <color theme="0"/>
      </dataBar>
      <extLst>
        <ext xmlns:x14="http://schemas.microsoft.com/office/spreadsheetml/2009/9/main" uri="{B025F937-C7B1-47D3-B67F-A62EFF666E3E}">
          <x14:id>{F67AB30A-C7B9-485C-BE6E-C8A719C49E0B}</x14:id>
        </ext>
      </extLst>
    </cfRule>
  </conditionalFormatting>
  <conditionalFormatting sqref="I4:BL49">
    <cfRule type="expression" dxfId="8" priority="2">
      <formula>AND(TODAY()&gt;=I$5, TODAY()&lt;J$5)</formula>
    </cfRule>
  </conditionalFormatting>
  <conditionalFormatting sqref="I9:BL12">
    <cfRule type="expression" dxfId="7" priority="7">
      <formula>AND(task_start&lt;=I$5,ROUNDDOWN((task_end-task_start+1)*task_progress,0)+task_start-1&gt;=I$5)</formula>
    </cfRule>
    <cfRule type="expression" dxfId="6" priority="8" stopIfTrue="1">
      <formula>AND(task_end&gt;=I$5,task_start&lt;J$5)</formula>
    </cfRule>
  </conditionalFormatting>
  <conditionalFormatting sqref="I14:BL25">
    <cfRule type="expression" dxfId="5" priority="5">
      <formula>AND(task_start&lt;=I$5,ROUNDDOWN((task_end-task_start+1)*task_progress,0)+task_start-1&gt;=I$5)</formula>
    </cfRule>
    <cfRule type="expression" dxfId="4" priority="6" stopIfTrue="1">
      <formula>AND(task_end&gt;=I$5,task_start&lt;J$5)</formula>
    </cfRule>
  </conditionalFormatting>
  <conditionalFormatting sqref="I27:BL35">
    <cfRule type="expression" dxfId="3" priority="3">
      <formula>AND(task_start&lt;=I$5,ROUNDDOWN((task_end-task_start+1)*task_progress,0)+task_start-1&gt;=I$5)</formula>
    </cfRule>
    <cfRule type="expression" dxfId="2" priority="4" stopIfTrue="1">
      <formula>AND(task_end&gt;=I$5,task_start&lt;J$5)</formula>
    </cfRule>
  </conditionalFormatting>
  <conditionalFormatting sqref="I37:BL49">
    <cfRule type="expression" dxfId="1" priority="37">
      <formula>AND(task_start&lt;=I$5,ROUNDDOWN((task_end-task_start+1)*task_progress,0)+task_start-1&gt;=I$5)</formula>
    </cfRule>
    <cfRule type="expression" dxfId="0" priority="38" stopIfTrue="1">
      <formula>AND(task_end&gt;=I$5,task_start&lt;J$5)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26" xr:uid="{956902D1-D3B5-416D-BB69-9362D193BC0A}"/>
    <dataValidation allowBlank="1" showInputMessage="1" showErrorMessage="1" prompt="Phase 4's sample block starts in cell B26." sqref="A3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0" xr:uid="{79B9237E-4DD3-4E0F-8ED6-E0B695A99D96}"/>
  </dataValidations>
  <printOptions horizontalCentered="1"/>
  <pageMargins left="0.35" right="0.35" top="0.35" bottom="0.5" header="0.3" footer="0.3"/>
  <pageSetup scale="5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D9:D12 D7 D14:D25 D27:D35 D37:D44 D50</xm:sqref>
        </x14:conditionalFormatting>
        <x14:conditionalFormatting xmlns:xm="http://schemas.microsoft.com/office/excel/2006/main">
          <x14:cfRule type="dataBar" id="{F67AB30A-C7B9-485C-BE6E-C8A719C49E0B}">
            <x14:dataBar minLength="0" maxLength="100" gradient="0">
              <x14:cfvo type="num">
                <xm:f>0</xm:f>
              </x14:cfvo>
              <x14:cfvo type="num">
                <xm:f>1</xm:f>
              </x14:cfvo>
              <x14:negativeFillColor rgb="FFFF0000"/>
              <x14:axisColor rgb="FF000000"/>
            </x14:dataBar>
          </x14:cfRule>
          <xm:sqref>D46:D49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60" t="s">
        <v>8</v>
      </c>
      <c r="B2" s="8"/>
    </row>
    <row r="3" spans="1:2" s="11" customFormat="1" ht="27" customHeight="1" x14ac:dyDescent="0.25">
      <c r="A3" s="61"/>
      <c r="B3" s="12"/>
    </row>
    <row r="4" spans="1:2" s="10" customFormat="1" ht="30" x14ac:dyDescent="0.7">
      <c r="A4" s="62" t="s">
        <v>7</v>
      </c>
    </row>
    <row r="5" spans="1:2" ht="74.25" customHeight="1" x14ac:dyDescent="0.25">
      <c r="A5" s="63" t="s">
        <v>15</v>
      </c>
    </row>
    <row r="6" spans="1:2" ht="26.25" customHeight="1" x14ac:dyDescent="0.25">
      <c r="A6" s="62" t="s">
        <v>18</v>
      </c>
    </row>
    <row r="7" spans="1:2" s="7" customFormat="1" ht="205.05" customHeight="1" x14ac:dyDescent="0.25">
      <c r="A7" s="64" t="s">
        <v>17</v>
      </c>
    </row>
    <row r="8" spans="1:2" s="10" customFormat="1" ht="30" x14ac:dyDescent="0.7">
      <c r="A8" s="62" t="s">
        <v>9</v>
      </c>
    </row>
    <row r="9" spans="1:2" ht="41.4" x14ac:dyDescent="0.25">
      <c r="A9" s="63" t="s">
        <v>16</v>
      </c>
    </row>
    <row r="10" spans="1:2" s="7" customFormat="1" ht="28.05" customHeight="1" x14ac:dyDescent="0.25">
      <c r="A10" s="65" t="s">
        <v>14</v>
      </c>
    </row>
    <row r="11" spans="1:2" s="10" customFormat="1" ht="30" x14ac:dyDescent="0.7">
      <c r="A11" s="62" t="s">
        <v>6</v>
      </c>
    </row>
    <row r="12" spans="1:2" ht="27.6" x14ac:dyDescent="0.25">
      <c r="A12" s="63" t="s">
        <v>13</v>
      </c>
    </row>
    <row r="13" spans="1:2" s="7" customFormat="1" ht="28.05" customHeight="1" x14ac:dyDescent="0.25">
      <c r="A13" s="65" t="s">
        <v>2</v>
      </c>
    </row>
    <row r="14" spans="1:2" s="10" customFormat="1" ht="30" x14ac:dyDescent="0.7">
      <c r="A14" s="62" t="s">
        <v>10</v>
      </c>
    </row>
    <row r="15" spans="1:2" ht="75" customHeight="1" x14ac:dyDescent="0.25">
      <c r="A15" s="63" t="s">
        <v>11</v>
      </c>
    </row>
    <row r="16" spans="1:2" ht="69" x14ac:dyDescent="0.25">
      <c r="A16" s="63" t="s">
        <v>12</v>
      </c>
    </row>
    <row r="17" spans="1:1" x14ac:dyDescent="0.25">
      <c r="A17" s="66"/>
    </row>
    <row r="18" spans="1:1" x14ac:dyDescent="0.25">
      <c r="A18" s="66"/>
    </row>
    <row r="19" spans="1:1" x14ac:dyDescent="0.25">
      <c r="A19" s="66"/>
    </row>
    <row r="20" spans="1:1" x14ac:dyDescent="0.25">
      <c r="A20" s="66"/>
    </row>
    <row r="21" spans="1:1" x14ac:dyDescent="0.25">
      <c r="A21" s="66"/>
    </row>
    <row r="22" spans="1:1" x14ac:dyDescent="0.25">
      <c r="A22" s="66"/>
    </row>
    <row r="23" spans="1:1" x14ac:dyDescent="0.25">
      <c r="A23" s="66"/>
    </row>
    <row r="24" spans="1:1" x14ac:dyDescent="0.25">
      <c r="A24" s="66"/>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MOHAMMAD AZRI BIN AZIZ</dc:creator>
  <dc:description/>
  <cp:lastModifiedBy>MOHAMMAD AZRI BIN AZIZ</cp:lastModifiedBy>
  <cp:lastPrinted>2026-01-04T08:50:57Z</cp:lastPrinted>
  <dcterms:created xsi:type="dcterms:W3CDTF">2022-03-11T22:41:12Z</dcterms:created>
  <dcterms:modified xsi:type="dcterms:W3CDTF">2026-01-04T09:26:23Z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