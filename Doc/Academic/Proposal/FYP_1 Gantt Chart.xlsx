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FYP\FYP_SentriZK\Doc\Academic\Proposal\"/>
    </mc:Choice>
  </mc:AlternateContent>
  <xr:revisionPtr revIDLastSave="0" documentId="13_ncr:11_{FB33208A-39A0-4C9D-8539-7273EAB7A69A}"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1" l="1"/>
  <c r="E24" i="11"/>
  <c r="E23" i="11"/>
  <c r="F22" i="11"/>
  <c r="E22" i="11"/>
  <c r="F21" i="11"/>
  <c r="F20" i="11"/>
  <c r="E20" i="11"/>
  <c r="F18" i="11"/>
  <c r="E18" i="11"/>
  <c r="E17" i="11"/>
  <c r="F17" i="11"/>
  <c r="E15" i="11"/>
  <c r="F14" i="11"/>
  <c r="E14" i="11"/>
  <c r="F13" i="11"/>
  <c r="E13" i="11"/>
  <c r="E11" i="11"/>
  <c r="F11" i="11" s="1"/>
  <c r="F9" i="11"/>
  <c r="E10" i="11"/>
  <c r="F10" i="11" s="1"/>
  <c r="Q1" i="11"/>
  <c r="H7" i="11"/>
  <c r="H8" i="11"/>
  <c r="H12" i="11"/>
  <c r="H16" i="11"/>
  <c r="H19" i="11"/>
  <c r="I5" i="11" l="1"/>
  <c r="I4" i="11" s="1"/>
  <c r="E9" i="11"/>
  <c r="H26" i="11"/>
  <c r="H25" i="11"/>
  <c r="J5" i="11" l="1"/>
  <c r="I6" i="11"/>
  <c r="H9" i="11" l="1"/>
  <c r="K5" i="11"/>
  <c r="J6" i="11"/>
  <c r="H17" i="11" l="1"/>
  <c r="H10" i="11"/>
  <c r="E21" i="11"/>
  <c r="H18" i="11"/>
  <c r="L5" i="11"/>
  <c r="K6" i="11"/>
  <c r="H24" i="11" l="1"/>
  <c r="F23" i="11"/>
  <c r="H23" i="11" s="1"/>
  <c r="H11" i="11"/>
  <c r="H20" i="11"/>
  <c r="M5" i="11"/>
  <c r="L6" i="11"/>
  <c r="H13" i="11"/>
  <c r="H21" i="11" l="1"/>
  <c r="M6" i="11"/>
  <c r="N5" i="11"/>
  <c r="H22" i="11"/>
  <c r="H14" i="11" l="1"/>
  <c r="F15" i="11"/>
  <c r="H15" i="11" s="1"/>
  <c r="N6" i="11"/>
  <c r="O5" i="11"/>
  <c r="O6" i="11" l="1"/>
  <c r="P5" i="11"/>
  <c r="P4" i="11" s="1"/>
  <c r="P6" i="11" l="1"/>
  <c r="Q5" i="11"/>
  <c r="Q6" i="11" l="1"/>
  <c r="R5" i="11"/>
  <c r="R6" i="11" l="1"/>
  <c r="S5" i="11"/>
  <c r="S6" i="11" l="1"/>
  <c r="T5" i="11"/>
  <c r="U5" i="11" l="1"/>
  <c r="T6" i="11"/>
  <c r="V5" i="11" l="1"/>
  <c r="U6" i="11"/>
  <c r="W5" i="11" l="1"/>
  <c r="W4" i="11" s="1"/>
  <c r="V6" i="11"/>
  <c r="W6" i="11" l="1"/>
  <c r="X5" i="11"/>
  <c r="Y5" i="11" l="1"/>
  <c r="X6" i="11"/>
  <c r="Y6" i="11" l="1"/>
  <c r="Z5" i="11"/>
  <c r="Z6" i="11" l="1"/>
  <c r="AA5" i="11"/>
  <c r="AA6" i="11" l="1"/>
  <c r="AB5" i="11"/>
  <c r="AC5" i="11" l="1"/>
  <c r="AB6" i="11"/>
  <c r="AC6" i="11" l="1"/>
  <c r="AD5" i="11"/>
  <c r="AD4" i="11" s="1"/>
  <c r="AD6" i="11" l="1"/>
  <c r="AE5" i="11"/>
  <c r="AE6" i="11" l="1"/>
  <c r="AF5" i="11"/>
  <c r="AG5" i="11" l="1"/>
  <c r="AF6" i="11"/>
  <c r="AH5" i="11" l="1"/>
  <c r="AG6" i="11"/>
  <c r="AI5" i="11" l="1"/>
  <c r="AH6" i="11"/>
  <c r="AJ5" i="11" l="1"/>
  <c r="AI6" i="11"/>
  <c r="AK5" i="11" l="1"/>
  <c r="AK4" i="11" s="1"/>
  <c r="AJ6" i="11"/>
  <c r="AK6" i="11" l="1"/>
  <c r="AL5" i="11"/>
  <c r="AL6" i="11" l="1"/>
  <c r="AM5" i="11"/>
  <c r="AM6" i="11" l="1"/>
  <c r="AN5" i="11"/>
  <c r="AN6" i="11" l="1"/>
  <c r="AO5" i="11"/>
  <c r="AO6" i="11" l="1"/>
  <c r="AP5" i="11"/>
  <c r="AP6" i="11" l="1"/>
  <c r="AQ5" i="11"/>
  <c r="AQ6" i="11" l="1"/>
  <c r="AR5" i="11"/>
  <c r="AR4" i="11" s="1"/>
  <c r="AS5" i="11" l="1"/>
  <c r="AR6" i="11"/>
  <c r="AT5" i="11" l="1"/>
  <c r="AS6" i="11"/>
  <c r="AU5" i="11" l="1"/>
  <c r="AT6" i="11"/>
  <c r="AV5" i="11" l="1"/>
  <c r="AU6" i="11"/>
  <c r="AW5" i="11" l="1"/>
  <c r="AV6" i="11"/>
  <c r="AW6" i="11" l="1"/>
  <c r="AX5" i="11"/>
  <c r="AX6" i="11" l="1"/>
  <c r="AY5" i="11"/>
  <c r="AY4" i="11" s="1"/>
  <c r="AY6" i="11" l="1"/>
  <c r="AZ5" i="11"/>
  <c r="AZ6" i="11" l="1"/>
  <c r="BA5" i="11"/>
  <c r="BA6" i="11" l="1"/>
  <c r="BB5" i="11"/>
  <c r="BB6" i="11" l="1"/>
  <c r="BC5" i="11"/>
  <c r="BC6" i="11" l="1"/>
  <c r="BD5" i="11"/>
  <c r="BE5" i="11" l="1"/>
  <c r="BD6" i="11"/>
  <c r="BF5" i="11" l="1"/>
  <c r="BF4" i="11" s="1"/>
  <c r="BE6" i="11"/>
  <c r="BG5" i="11" l="1"/>
  <c r="BF6" i="11"/>
  <c r="BH5" i="11" l="1"/>
  <c r="BG6" i="11"/>
  <c r="BI5" i="11" l="1"/>
  <c r="BH6" i="11"/>
  <c r="BI6" i="11" l="1"/>
  <c r="BJ5" i="11"/>
  <c r="BJ6" i="11" l="1"/>
  <c r="BK5" i="11"/>
  <c r="BK6" i="11" l="1"/>
  <c r="BL5" i="11"/>
  <c r="BL6" i="11" l="1"/>
  <c r="BM5" i="11"/>
  <c r="BM4" i="11" l="1"/>
  <c r="BN5" i="11"/>
  <c r="BM6" i="11"/>
  <c r="BO5" i="11" l="1"/>
  <c r="BN6" i="11"/>
  <c r="BO6" i="11" l="1"/>
  <c r="BP5" i="11"/>
  <c r="BP6" i="11" l="1"/>
  <c r="BQ5" i="11"/>
  <c r="BQ6" i="11" l="1"/>
  <c r="BR5" i="11"/>
  <c r="BS5" i="11" l="1"/>
  <c r="BR6" i="11"/>
  <c r="BS6" i="11" l="1"/>
  <c r="BT5" i="11"/>
  <c r="BT4" i="11" l="1"/>
  <c r="BT6" i="11"/>
  <c r="BU5" i="11"/>
  <c r="BV5" i="11" l="1"/>
  <c r="BU6" i="11"/>
  <c r="BV6" i="11" l="1"/>
  <c r="BW5" i="11"/>
  <c r="BX5" i="11" l="1"/>
  <c r="BW6" i="11"/>
  <c r="BX6" i="11" l="1"/>
  <c r="BY5" i="11"/>
  <c r="BY6" i="11" l="1"/>
  <c r="BZ5" i="11"/>
  <c r="BZ6" i="11" l="1"/>
  <c r="CA5" i="11"/>
  <c r="CB5" i="11" l="1"/>
  <c r="CA6" i="11"/>
  <c r="CA4" i="11"/>
  <c r="CB6" i="11" l="1"/>
  <c r="CC5" i="11"/>
  <c r="CC6" i="11" l="1"/>
  <c r="CD5" i="11"/>
  <c r="CD6" i="11" l="1"/>
  <c r="CE5" i="11"/>
  <c r="CE6" i="11" l="1"/>
  <c r="CF5" i="11"/>
  <c r="CG5" i="11" l="1"/>
  <c r="CF6" i="11"/>
  <c r="CG6" i="11" l="1"/>
  <c r="CH5" i="11"/>
  <c r="CH4" i="11" l="1"/>
  <c r="CI5" i="11"/>
  <c r="CH6" i="11"/>
  <c r="CJ5" i="11" l="1"/>
  <c r="CI6" i="11"/>
  <c r="CJ6" i="11" l="1"/>
  <c r="CK5" i="11"/>
  <c r="CL5" i="11" l="1"/>
  <c r="CK6" i="11"/>
  <c r="CM5" i="11" l="1"/>
  <c r="CL6" i="11"/>
  <c r="CN5" i="11" l="1"/>
  <c r="CM6" i="11"/>
  <c r="CN6" i="11" l="1"/>
  <c r="CO5" i="11"/>
  <c r="CO6" i="11" l="1"/>
  <c r="CO4" i="11"/>
  <c r="CP5" i="11"/>
  <c r="CP6" i="11" l="1"/>
  <c r="CQ5" i="11"/>
  <c r="CQ6" i="11" l="1"/>
  <c r="CR5" i="11"/>
  <c r="CS5" i="11" l="1"/>
  <c r="CR6" i="11"/>
  <c r="CT5" i="11" l="1"/>
  <c r="CS6" i="11"/>
  <c r="CU5" i="11" l="1"/>
  <c r="CT6" i="11"/>
  <c r="CU6" i="11" l="1"/>
  <c r="CV5" i="11"/>
  <c r="CV6" i="11" l="1"/>
  <c r="CV4" i="11"/>
  <c r="CW5" i="11"/>
  <c r="CW6" i="11" l="1"/>
  <c r="CX5" i="11"/>
  <c r="CY5" i="11" l="1"/>
  <c r="CX6" i="11"/>
  <c r="CZ5" i="11" l="1"/>
  <c r="CY6" i="11"/>
  <c r="DA5" i="11" l="1"/>
  <c r="CZ6" i="11"/>
  <c r="DB5" i="11" l="1"/>
  <c r="DB6" i="11" s="1"/>
  <c r="DA6" i="11"/>
</calcChain>
</file>

<file path=xl/sharedStrings.xml><?xml version="1.0" encoding="utf-8"?>
<sst xmlns="http://schemas.openxmlformats.org/spreadsheetml/2006/main" count="42" uniqueCount="42">
  <si>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</si>
  <si>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</si>
  <si>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</si>
  <si>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</si>
  <si>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</si>
  <si>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</si>
  <si>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</si>
  <si>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</si>
  <si>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</si>
  <si>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</si>
  <si>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</si>
  <si>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</si>
  <si>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</si>
  <si>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</si>
  <si>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</si>
  <si>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</si>
  <si>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</si>
  <si>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</si>
  <si>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</si>
  <si>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</si>
  <si>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Planning and design</t>
  </si>
  <si>
    <t>Project start:</t>
  </si>
  <si>
    <t>Display week:</t>
  </si>
  <si>
    <t xml:space="preserve">SentriZK </t>
  </si>
  <si>
    <t>Gantt Chart</t>
  </si>
  <si>
    <t>Research &amp; Understanding</t>
  </si>
  <si>
    <t>Presentation &amp; Evaluation</t>
  </si>
  <si>
    <t>Half Prototype Development &amp; Documentation</t>
  </si>
  <si>
    <t>ZKP authentication</t>
  </si>
  <si>
    <t>AI anomaly detection</t>
  </si>
  <si>
    <t>Project scope finalization</t>
  </si>
  <si>
    <t>System architecture design</t>
  </si>
  <si>
    <t>Proposal drafting</t>
  </si>
  <si>
    <t>Proposal revision &amp; feedback</t>
  </si>
  <si>
    <t>Proposal defense preparation</t>
  </si>
  <si>
    <t>Proposal defense</t>
  </si>
  <si>
    <t>Backend prototype planning &amp; coding</t>
  </si>
  <si>
    <t>Frontend prototype development</t>
  </si>
  <si>
    <t>Backend + frontend integration</t>
  </si>
  <si>
    <t>Half working Prototype testing</t>
  </si>
  <si>
    <t>FYP1 documentation</t>
  </si>
  <si>
    <t>FYP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</si>
</sst>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4">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b/>
      <sz val="16"/>
      <color theme="3" tint="0.249977111117893"/>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21" xfId="0" applyFont="1" applyFill="1" applyBorder="1" applyAlignment="1">
      <alignment horizontal="center" vertical="center"/>
    </xf>
    <xf numFmtId="0" fontId="20" fillId="11" borderId="21" xfId="0" applyFont="1" applyFill="1" applyBorder="1" applyAlignment="1">
      <alignment vertical="center"/>
    </xf>
    <xf numFmtId="0" fontId="20" fillId="11" borderId="21" xfId="0" applyFont="1" applyFill="1" applyBorder="1" applyAlignment="1">
      <alignment horizontal="left" vertical="center" indent="1"/>
    </xf>
    <xf numFmtId="166" fontId="19" fillId="2" borderId="20" xfId="0" applyNumberFormat="1" applyFont="1" applyFill="1" applyBorder="1" applyAlignment="1">
      <alignment horizontal="center" vertical="center" wrapText="1"/>
    </xf>
    <xf numFmtId="0" fontId="33" fillId="0" borderId="0" xfId="0" applyFon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B33"/>
  <sheetViews>
    <sheetView showGridLines="0" tabSelected="1" showRuler="0" zoomScale="54" zoomScaleNormal="60" zoomScalePageLayoutView="70" workbookViewId="0">
      <selection activeCell="Q3" sqref="Q3"/>
    </sheetView>
  </sheetViews>
  <sheetFormatPr defaultColWidth="8.69921875" defaultRowHeight="30" customHeight="1"/>
  <cols>
    <col min="1" max="1" width="2.69921875" style="13" customWidth="1"/>
    <col min="2" max="2" width="26.5" customWidth="1"/>
    <col min="3" max="3" width="1.3984375" customWidth="1"/>
    <col min="4" max="4" width="10.69921875" customWidth="1"/>
    <col min="5" max="5" width="10.69921875" style="2" customWidth="1"/>
    <col min="6" max="6" width="10.69921875" customWidth="1"/>
    <col min="7" max="7" width="2.69921875" customWidth="1"/>
    <col min="8" max="8" width="6" hidden="1" customWidth="1"/>
    <col min="9" max="106" width="2.69921875" customWidth="1"/>
  </cols>
  <sheetData>
    <row r="1" spans="1:106" ht="90" customHeight="1">
      <c r="A1" s="14"/>
      <c r="B1" s="97" t="s">
        <v>23</v>
      </c>
      <c r="C1" s="18"/>
      <c r="D1" s="19"/>
      <c r="E1" s="20"/>
      <c r="F1" s="21"/>
      <c r="H1" s="1"/>
      <c r="I1" s="112" t="s">
        <v>21</v>
      </c>
      <c r="J1" s="113"/>
      <c r="K1" s="113"/>
      <c r="L1" s="113"/>
      <c r="M1" s="113"/>
      <c r="N1" s="113"/>
      <c r="O1" s="113"/>
      <c r="P1" s="23"/>
      <c r="Q1" s="111">
        <f>DATE(2025,10,8)</f>
        <v>45938</v>
      </c>
      <c r="R1" s="110"/>
      <c r="S1" s="110"/>
      <c r="T1" s="110"/>
      <c r="U1" s="110"/>
      <c r="V1" s="110"/>
      <c r="W1" s="110"/>
      <c r="X1" s="110"/>
      <c r="Y1" s="110"/>
      <c r="Z1" s="110"/>
    </row>
    <row r="2" spans="1:106" ht="30" customHeight="1">
      <c r="B2" s="95" t="s">
        <v>24</v>
      </c>
      <c r="C2" s="96" t="s">
        <v>19</v>
      </c>
      <c r="D2" s="121" t="s">
        <v>41</v>
      </c>
      <c r="E2" s="121"/>
      <c r="F2" s="22"/>
      <c r="I2" s="112" t="s">
        <v>22</v>
      </c>
      <c r="J2" s="113"/>
      <c r="K2" s="113"/>
      <c r="L2" s="113"/>
      <c r="M2" s="113"/>
      <c r="N2" s="113"/>
      <c r="O2" s="113"/>
      <c r="P2" s="23"/>
      <c r="Q2" s="109">
        <v>1</v>
      </c>
      <c r="R2" s="110"/>
      <c r="S2" s="110"/>
      <c r="T2" s="110"/>
      <c r="U2" s="110"/>
      <c r="V2" s="110"/>
      <c r="W2" s="110"/>
      <c r="X2" s="110"/>
      <c r="Y2" s="110"/>
      <c r="Z2" s="110"/>
    </row>
    <row r="3" spans="1:106" s="25" customFormat="1" ht="30" customHeight="1">
      <c r="A3" s="13"/>
      <c r="B3" s="24"/>
      <c r="D3" s="26"/>
      <c r="E3" s="27"/>
    </row>
    <row r="4" spans="1:106" s="25" customFormat="1" ht="30" customHeight="1">
      <c r="A4" s="14"/>
      <c r="B4" s="28"/>
      <c r="E4" s="29"/>
      <c r="I4" s="116">
        <f>I5</f>
        <v>45936</v>
      </c>
      <c r="J4" s="114"/>
      <c r="K4" s="114"/>
      <c r="L4" s="114"/>
      <c r="M4" s="114"/>
      <c r="N4" s="114"/>
      <c r="O4" s="114"/>
      <c r="P4" s="115">
        <f>P5</f>
        <v>45943</v>
      </c>
      <c r="Q4" s="120"/>
      <c r="R4" s="120"/>
      <c r="S4" s="120"/>
      <c r="T4" s="120"/>
      <c r="U4" s="120"/>
      <c r="V4" s="116"/>
      <c r="W4" s="115">
        <f>W5</f>
        <v>45950</v>
      </c>
      <c r="X4" s="120"/>
      <c r="Y4" s="120"/>
      <c r="Z4" s="120"/>
      <c r="AA4" s="120"/>
      <c r="AB4" s="120"/>
      <c r="AC4" s="116"/>
      <c r="AD4" s="115">
        <f>AD5</f>
        <v>45957</v>
      </c>
      <c r="AE4" s="120"/>
      <c r="AF4" s="120"/>
      <c r="AG4" s="120"/>
      <c r="AH4" s="120"/>
      <c r="AI4" s="120"/>
      <c r="AJ4" s="116"/>
      <c r="AK4" s="115">
        <f>AK5</f>
        <v>45964</v>
      </c>
      <c r="AL4" s="120"/>
      <c r="AM4" s="120"/>
      <c r="AN4" s="120"/>
      <c r="AO4" s="120"/>
      <c r="AP4" s="120"/>
      <c r="AQ4" s="116"/>
      <c r="AR4" s="115">
        <f>AR5</f>
        <v>45971</v>
      </c>
      <c r="AS4" s="120"/>
      <c r="AT4" s="120"/>
      <c r="AU4" s="120"/>
      <c r="AV4" s="120"/>
      <c r="AW4" s="120"/>
      <c r="AX4" s="116"/>
      <c r="AY4" s="115">
        <f>AY5</f>
        <v>45978</v>
      </c>
      <c r="AZ4" s="120"/>
      <c r="BA4" s="120"/>
      <c r="BB4" s="120"/>
      <c r="BC4" s="120"/>
      <c r="BD4" s="120"/>
      <c r="BE4" s="116"/>
      <c r="BF4" s="115">
        <f>BF5</f>
        <v>45985</v>
      </c>
      <c r="BG4" s="120"/>
      <c r="BH4" s="120"/>
      <c r="BI4" s="120"/>
      <c r="BJ4" s="120"/>
      <c r="BK4" s="120"/>
      <c r="BL4" s="120"/>
      <c r="BM4" s="115">
        <f t="shared" ref="BM4" si="0">BM5</f>
        <v>45992</v>
      </c>
      <c r="BN4" s="120"/>
      <c r="BO4" s="120"/>
      <c r="BP4" s="120"/>
      <c r="BQ4" s="120"/>
      <c r="BR4" s="120"/>
      <c r="BS4" s="116"/>
      <c r="BT4" s="115">
        <f t="shared" ref="BT4" si="1">BT5</f>
        <v>45999</v>
      </c>
      <c r="BU4" s="120"/>
      <c r="BV4" s="120"/>
      <c r="BW4" s="120"/>
      <c r="BX4" s="120"/>
      <c r="BY4" s="120"/>
      <c r="BZ4" s="120"/>
      <c r="CA4" s="115">
        <f t="shared" ref="CA4" si="2">CA5</f>
        <v>46006</v>
      </c>
      <c r="CB4" s="120"/>
      <c r="CC4" s="120"/>
      <c r="CD4" s="120"/>
      <c r="CE4" s="120"/>
      <c r="CF4" s="120"/>
      <c r="CG4" s="116"/>
      <c r="CH4" s="115">
        <f t="shared" ref="CH4" si="3">CH5</f>
        <v>46013</v>
      </c>
      <c r="CI4" s="120"/>
      <c r="CJ4" s="120"/>
      <c r="CK4" s="120"/>
      <c r="CL4" s="120"/>
      <c r="CM4" s="120"/>
      <c r="CN4" s="116"/>
      <c r="CO4" s="115">
        <f t="shared" ref="CO4" si="4">CO5</f>
        <v>46020</v>
      </c>
      <c r="CP4" s="120"/>
      <c r="CQ4" s="120"/>
      <c r="CR4" s="120"/>
      <c r="CS4" s="120"/>
      <c r="CT4" s="120"/>
      <c r="CU4" s="120"/>
      <c r="CV4" s="115">
        <f t="shared" ref="CV4" si="5">CV5</f>
        <v>46027</v>
      </c>
      <c r="CW4" s="120"/>
      <c r="CX4" s="120"/>
      <c r="CY4" s="120"/>
      <c r="CZ4" s="120"/>
      <c r="DA4" s="120"/>
      <c r="DB4" s="120"/>
    </row>
    <row r="5" spans="1:106" s="25" customFormat="1" ht="15" customHeight="1">
      <c r="A5" s="105"/>
      <c r="B5" s="106" t="s">
        <v>4</v>
      </c>
      <c r="C5" s="107"/>
      <c r="D5" s="108" t="s">
        <v>0</v>
      </c>
      <c r="E5" s="108" t="s">
        <v>2</v>
      </c>
      <c r="F5" s="108" t="s">
        <v>3</v>
      </c>
      <c r="I5" s="30">
        <f>Project_Start-WEEKDAY(Project_Start,1)+2+7*(Display_Week-1)</f>
        <v>45936</v>
      </c>
      <c r="J5" s="30">
        <f>I5+1</f>
        <v>45937</v>
      </c>
      <c r="K5" s="30">
        <f t="shared" ref="K5:AX5" si="6">J5+1</f>
        <v>45938</v>
      </c>
      <c r="L5" s="30">
        <f t="shared" si="6"/>
        <v>45939</v>
      </c>
      <c r="M5" s="30">
        <f t="shared" si="6"/>
        <v>45940</v>
      </c>
      <c r="N5" s="30">
        <f t="shared" si="6"/>
        <v>45941</v>
      </c>
      <c r="O5" s="31">
        <f t="shared" si="6"/>
        <v>45942</v>
      </c>
      <c r="P5" s="32">
        <f>O5+1</f>
        <v>45943</v>
      </c>
      <c r="Q5" s="30">
        <f>P5+1</f>
        <v>45944</v>
      </c>
      <c r="R5" s="30">
        <f t="shared" si="6"/>
        <v>45945</v>
      </c>
      <c r="S5" s="30">
        <f t="shared" si="6"/>
        <v>45946</v>
      </c>
      <c r="T5" s="30">
        <f t="shared" si="6"/>
        <v>45947</v>
      </c>
      <c r="U5" s="30">
        <f t="shared" si="6"/>
        <v>45948</v>
      </c>
      <c r="V5" s="31">
        <f t="shared" si="6"/>
        <v>45949</v>
      </c>
      <c r="W5" s="32">
        <f>V5+1</f>
        <v>45950</v>
      </c>
      <c r="X5" s="30">
        <f>W5+1</f>
        <v>45951</v>
      </c>
      <c r="Y5" s="30">
        <f t="shared" si="6"/>
        <v>45952</v>
      </c>
      <c r="Z5" s="30">
        <f t="shared" si="6"/>
        <v>45953</v>
      </c>
      <c r="AA5" s="30">
        <f t="shared" si="6"/>
        <v>45954</v>
      </c>
      <c r="AB5" s="30">
        <f t="shared" si="6"/>
        <v>45955</v>
      </c>
      <c r="AC5" s="31">
        <f t="shared" si="6"/>
        <v>45956</v>
      </c>
      <c r="AD5" s="32">
        <f>AC5+1</f>
        <v>45957</v>
      </c>
      <c r="AE5" s="30">
        <f>AD5+1</f>
        <v>45958</v>
      </c>
      <c r="AF5" s="30">
        <f t="shared" si="6"/>
        <v>45959</v>
      </c>
      <c r="AG5" s="30">
        <f t="shared" si="6"/>
        <v>45960</v>
      </c>
      <c r="AH5" s="30">
        <f t="shared" si="6"/>
        <v>45961</v>
      </c>
      <c r="AI5" s="30">
        <f t="shared" si="6"/>
        <v>45962</v>
      </c>
      <c r="AJ5" s="31">
        <f t="shared" si="6"/>
        <v>45963</v>
      </c>
      <c r="AK5" s="32">
        <f>AJ5+1</f>
        <v>45964</v>
      </c>
      <c r="AL5" s="30">
        <f>AK5+1</f>
        <v>45965</v>
      </c>
      <c r="AM5" s="30">
        <f t="shared" si="6"/>
        <v>45966</v>
      </c>
      <c r="AN5" s="30">
        <f t="shared" si="6"/>
        <v>45967</v>
      </c>
      <c r="AO5" s="30">
        <f t="shared" si="6"/>
        <v>45968</v>
      </c>
      <c r="AP5" s="30">
        <f t="shared" si="6"/>
        <v>45969</v>
      </c>
      <c r="AQ5" s="31">
        <f t="shared" si="6"/>
        <v>45970</v>
      </c>
      <c r="AR5" s="32">
        <f>AQ5+1</f>
        <v>45971</v>
      </c>
      <c r="AS5" s="30">
        <f>AR5+1</f>
        <v>45972</v>
      </c>
      <c r="AT5" s="30">
        <f t="shared" si="6"/>
        <v>45973</v>
      </c>
      <c r="AU5" s="30">
        <f t="shared" si="6"/>
        <v>45974</v>
      </c>
      <c r="AV5" s="30">
        <f t="shared" si="6"/>
        <v>45975</v>
      </c>
      <c r="AW5" s="30">
        <f t="shared" si="6"/>
        <v>45976</v>
      </c>
      <c r="AX5" s="31">
        <f t="shared" si="6"/>
        <v>45977</v>
      </c>
      <c r="AY5" s="32">
        <f>AX5+1</f>
        <v>45978</v>
      </c>
      <c r="AZ5" s="30">
        <f>AY5+1</f>
        <v>45979</v>
      </c>
      <c r="BA5" s="30">
        <f t="shared" ref="BA5:BE5" si="7">AZ5+1</f>
        <v>45980</v>
      </c>
      <c r="BB5" s="30">
        <f t="shared" si="7"/>
        <v>45981</v>
      </c>
      <c r="BC5" s="30">
        <f t="shared" si="7"/>
        <v>45982</v>
      </c>
      <c r="BD5" s="30">
        <f t="shared" si="7"/>
        <v>45983</v>
      </c>
      <c r="BE5" s="31">
        <f t="shared" si="7"/>
        <v>45984</v>
      </c>
      <c r="BF5" s="32">
        <f>BE5+1</f>
        <v>45985</v>
      </c>
      <c r="BG5" s="30">
        <f>BF5+1</f>
        <v>45986</v>
      </c>
      <c r="BH5" s="30">
        <f t="shared" ref="BH5:BN5" si="8">BG5+1</f>
        <v>45987</v>
      </c>
      <c r="BI5" s="30">
        <f t="shared" si="8"/>
        <v>45988</v>
      </c>
      <c r="BJ5" s="30">
        <f t="shared" si="8"/>
        <v>45989</v>
      </c>
      <c r="BK5" s="30">
        <f t="shared" si="8"/>
        <v>45990</v>
      </c>
      <c r="BL5" s="30">
        <f t="shared" si="8"/>
        <v>45991</v>
      </c>
      <c r="BM5" s="32">
        <f t="shared" si="8"/>
        <v>45992</v>
      </c>
      <c r="BN5" s="30">
        <f t="shared" si="8"/>
        <v>45993</v>
      </c>
      <c r="BO5" s="30">
        <f t="shared" ref="BO5" si="9">BN5+1</f>
        <v>45994</v>
      </c>
      <c r="BP5" s="30">
        <f t="shared" ref="BP5" si="10">BO5+1</f>
        <v>45995</v>
      </c>
      <c r="BQ5" s="30">
        <f t="shared" ref="BQ5" si="11">BP5+1</f>
        <v>45996</v>
      </c>
      <c r="BR5" s="30">
        <f t="shared" ref="BR5" si="12">BQ5+1</f>
        <v>45997</v>
      </c>
      <c r="BS5" s="30">
        <f t="shared" ref="BS5:BU5" si="13">BR5+1</f>
        <v>45998</v>
      </c>
      <c r="BT5" s="32">
        <f t="shared" si="13"/>
        <v>45999</v>
      </c>
      <c r="BU5" s="30">
        <f t="shared" si="13"/>
        <v>46000</v>
      </c>
      <c r="BV5" s="30">
        <f t="shared" ref="BV5" si="14">BU5+1</f>
        <v>46001</v>
      </c>
      <c r="BW5" s="30">
        <f t="shared" ref="BW5" si="15">BV5+1</f>
        <v>46002</v>
      </c>
      <c r="BX5" s="30">
        <f t="shared" ref="BX5" si="16">BW5+1</f>
        <v>46003</v>
      </c>
      <c r="BY5" s="30">
        <f t="shared" ref="BY5" si="17">BX5+1</f>
        <v>46004</v>
      </c>
      <c r="BZ5" s="30">
        <f t="shared" ref="BZ5" si="18">BY5+1</f>
        <v>46005</v>
      </c>
      <c r="CA5" s="32">
        <f t="shared" ref="CA5" si="19">BZ5+1</f>
        <v>46006</v>
      </c>
      <c r="CB5" s="30">
        <f t="shared" ref="CB5" si="20">CA5+1</f>
        <v>46007</v>
      </c>
      <c r="CC5" s="30">
        <f t="shared" ref="CC5" si="21">CB5+1</f>
        <v>46008</v>
      </c>
      <c r="CD5" s="30">
        <f t="shared" ref="CD5" si="22">CC5+1</f>
        <v>46009</v>
      </c>
      <c r="CE5" s="30">
        <f t="shared" ref="CE5" si="23">CD5+1</f>
        <v>46010</v>
      </c>
      <c r="CF5" s="30">
        <f t="shared" ref="CF5" si="24">CE5+1</f>
        <v>46011</v>
      </c>
      <c r="CG5" s="30">
        <f t="shared" ref="CG5" si="25">CF5+1</f>
        <v>46012</v>
      </c>
      <c r="CH5" s="32">
        <f t="shared" ref="CH5" si="26">CG5+1</f>
        <v>46013</v>
      </c>
      <c r="CI5" s="30">
        <f t="shared" ref="CI5" si="27">CH5+1</f>
        <v>46014</v>
      </c>
      <c r="CJ5" s="30">
        <f t="shared" ref="CJ5" si="28">CI5+1</f>
        <v>46015</v>
      </c>
      <c r="CK5" s="30">
        <f t="shared" ref="CK5" si="29">CJ5+1</f>
        <v>46016</v>
      </c>
      <c r="CL5" s="30">
        <f t="shared" ref="CL5" si="30">CK5+1</f>
        <v>46017</v>
      </c>
      <c r="CM5" s="30">
        <f t="shared" ref="CM5" si="31">CL5+1</f>
        <v>46018</v>
      </c>
      <c r="CN5" s="30">
        <f t="shared" ref="CN5" si="32">CM5+1</f>
        <v>46019</v>
      </c>
      <c r="CO5" s="32">
        <f t="shared" ref="CO5" si="33">CN5+1</f>
        <v>46020</v>
      </c>
      <c r="CP5" s="30">
        <f t="shared" ref="CP5" si="34">CO5+1</f>
        <v>46021</v>
      </c>
      <c r="CQ5" s="30">
        <f t="shared" ref="CQ5" si="35">CP5+1</f>
        <v>46022</v>
      </c>
      <c r="CR5" s="30">
        <f t="shared" ref="CR5" si="36">CQ5+1</f>
        <v>46023</v>
      </c>
      <c r="CS5" s="30">
        <f t="shared" ref="CS5" si="37">CR5+1</f>
        <v>46024</v>
      </c>
      <c r="CT5" s="30">
        <f t="shared" ref="CT5" si="38">CS5+1</f>
        <v>46025</v>
      </c>
      <c r="CU5" s="30">
        <f t="shared" ref="CU5" si="39">CT5+1</f>
        <v>46026</v>
      </c>
      <c r="CV5" s="32">
        <f t="shared" ref="CV5" si="40">CU5+1</f>
        <v>46027</v>
      </c>
      <c r="CW5" s="30">
        <f t="shared" ref="CW5" si="41">CV5+1</f>
        <v>46028</v>
      </c>
      <c r="CX5" s="30">
        <f t="shared" ref="CX5" si="42">CW5+1</f>
        <v>46029</v>
      </c>
      <c r="CY5" s="30">
        <f t="shared" ref="CY5" si="43">CX5+1</f>
        <v>46030</v>
      </c>
      <c r="CZ5" s="30">
        <f t="shared" ref="CZ5" si="44">CY5+1</f>
        <v>46031</v>
      </c>
      <c r="DA5" s="30">
        <f t="shared" ref="DA5" si="45">CZ5+1</f>
        <v>46032</v>
      </c>
      <c r="DB5" s="30">
        <f t="shared" ref="DB5" si="46">DA5+1</f>
        <v>46033</v>
      </c>
    </row>
    <row r="6" spans="1:106" s="25" customFormat="1" ht="15" customHeight="1" thickBot="1">
      <c r="A6" s="105"/>
      <c r="B6" s="119"/>
      <c r="C6" s="118"/>
      <c r="D6" s="117"/>
      <c r="E6" s="117"/>
      <c r="F6" s="117"/>
      <c r="I6" s="33" t="str">
        <f t="shared" ref="I6:AN6" si="47">LEFT(TEXT(I5,"ddd"),1)</f>
        <v>M</v>
      </c>
      <c r="J6" s="34" t="str">
        <f t="shared" si="47"/>
        <v>T</v>
      </c>
      <c r="K6" s="34" t="str">
        <f t="shared" si="47"/>
        <v>W</v>
      </c>
      <c r="L6" s="34" t="str">
        <f t="shared" si="47"/>
        <v>T</v>
      </c>
      <c r="M6" s="34" t="str">
        <f t="shared" si="47"/>
        <v>F</v>
      </c>
      <c r="N6" s="34" t="str">
        <f t="shared" si="47"/>
        <v>S</v>
      </c>
      <c r="O6" s="34" t="str">
        <f t="shared" si="47"/>
        <v>S</v>
      </c>
      <c r="P6" s="34" t="str">
        <f t="shared" si="47"/>
        <v>M</v>
      </c>
      <c r="Q6" s="34" t="str">
        <f t="shared" si="47"/>
        <v>T</v>
      </c>
      <c r="R6" s="34" t="str">
        <f t="shared" si="47"/>
        <v>W</v>
      </c>
      <c r="S6" s="34" t="str">
        <f t="shared" si="47"/>
        <v>T</v>
      </c>
      <c r="T6" s="34" t="str">
        <f t="shared" si="47"/>
        <v>F</v>
      </c>
      <c r="U6" s="34" t="str">
        <f t="shared" si="47"/>
        <v>S</v>
      </c>
      <c r="V6" s="34" t="str">
        <f t="shared" si="47"/>
        <v>S</v>
      </c>
      <c r="W6" s="34" t="str">
        <f t="shared" si="47"/>
        <v>M</v>
      </c>
      <c r="X6" s="34" t="str">
        <f t="shared" si="47"/>
        <v>T</v>
      </c>
      <c r="Y6" s="34" t="str">
        <f t="shared" si="47"/>
        <v>W</v>
      </c>
      <c r="Z6" s="34" t="str">
        <f t="shared" si="47"/>
        <v>T</v>
      </c>
      <c r="AA6" s="34" t="str">
        <f t="shared" si="47"/>
        <v>F</v>
      </c>
      <c r="AB6" s="34" t="str">
        <f t="shared" si="47"/>
        <v>S</v>
      </c>
      <c r="AC6" s="34" t="str">
        <f t="shared" si="47"/>
        <v>S</v>
      </c>
      <c r="AD6" s="34" t="str">
        <f t="shared" si="47"/>
        <v>M</v>
      </c>
      <c r="AE6" s="34" t="str">
        <f t="shared" si="47"/>
        <v>T</v>
      </c>
      <c r="AF6" s="34" t="str">
        <f t="shared" si="47"/>
        <v>W</v>
      </c>
      <c r="AG6" s="34" t="str">
        <f t="shared" si="47"/>
        <v>T</v>
      </c>
      <c r="AH6" s="34" t="str">
        <f t="shared" si="47"/>
        <v>F</v>
      </c>
      <c r="AI6" s="34" t="str">
        <f t="shared" si="47"/>
        <v>S</v>
      </c>
      <c r="AJ6" s="34" t="str">
        <f t="shared" si="47"/>
        <v>S</v>
      </c>
      <c r="AK6" s="34" t="str">
        <f t="shared" si="47"/>
        <v>M</v>
      </c>
      <c r="AL6" s="34" t="str">
        <f t="shared" si="47"/>
        <v>T</v>
      </c>
      <c r="AM6" s="34" t="str">
        <f t="shared" si="47"/>
        <v>W</v>
      </c>
      <c r="AN6" s="34" t="str">
        <f t="shared" si="47"/>
        <v>T</v>
      </c>
      <c r="AO6" s="34" t="str">
        <f t="shared" ref="AO6:BL6" si="48">LEFT(TEXT(AO5,"ddd"),1)</f>
        <v>F</v>
      </c>
      <c r="AP6" s="34" t="str">
        <f t="shared" si="48"/>
        <v>S</v>
      </c>
      <c r="AQ6" s="34" t="str">
        <f t="shared" si="48"/>
        <v>S</v>
      </c>
      <c r="AR6" s="34" t="str">
        <f t="shared" si="48"/>
        <v>M</v>
      </c>
      <c r="AS6" s="34" t="str">
        <f t="shared" si="48"/>
        <v>T</v>
      </c>
      <c r="AT6" s="34" t="str">
        <f t="shared" si="48"/>
        <v>W</v>
      </c>
      <c r="AU6" s="34" t="str">
        <f t="shared" si="48"/>
        <v>T</v>
      </c>
      <c r="AV6" s="34" t="str">
        <f t="shared" si="48"/>
        <v>F</v>
      </c>
      <c r="AW6" s="34" t="str">
        <f t="shared" si="48"/>
        <v>S</v>
      </c>
      <c r="AX6" s="34" t="str">
        <f t="shared" si="48"/>
        <v>S</v>
      </c>
      <c r="AY6" s="34" t="str">
        <f t="shared" si="48"/>
        <v>M</v>
      </c>
      <c r="AZ6" s="34" t="str">
        <f t="shared" si="48"/>
        <v>T</v>
      </c>
      <c r="BA6" s="34" t="str">
        <f t="shared" si="48"/>
        <v>W</v>
      </c>
      <c r="BB6" s="34" t="str">
        <f t="shared" si="48"/>
        <v>T</v>
      </c>
      <c r="BC6" s="34" t="str">
        <f t="shared" si="48"/>
        <v>F</v>
      </c>
      <c r="BD6" s="34" t="str">
        <f t="shared" si="48"/>
        <v>S</v>
      </c>
      <c r="BE6" s="34" t="str">
        <f t="shared" si="48"/>
        <v>S</v>
      </c>
      <c r="BF6" s="34" t="str">
        <f t="shared" si="48"/>
        <v>M</v>
      </c>
      <c r="BG6" s="34" t="str">
        <f t="shared" si="48"/>
        <v>T</v>
      </c>
      <c r="BH6" s="34" t="str">
        <f t="shared" si="48"/>
        <v>W</v>
      </c>
      <c r="BI6" s="34" t="str">
        <f t="shared" si="48"/>
        <v>T</v>
      </c>
      <c r="BJ6" s="34" t="str">
        <f t="shared" si="48"/>
        <v>F</v>
      </c>
      <c r="BK6" s="34" t="str">
        <f t="shared" si="48"/>
        <v>S</v>
      </c>
      <c r="BL6" s="35" t="str">
        <f t="shared" si="48"/>
        <v>S</v>
      </c>
      <c r="BM6" s="34" t="str">
        <f t="shared" ref="BM6:BZ6" si="49">LEFT(TEXT(BM5,"ddd"),1)</f>
        <v>M</v>
      </c>
      <c r="BN6" s="34" t="str">
        <f t="shared" si="49"/>
        <v>T</v>
      </c>
      <c r="BO6" s="34" t="str">
        <f t="shared" si="49"/>
        <v>W</v>
      </c>
      <c r="BP6" s="34" t="str">
        <f t="shared" si="49"/>
        <v>T</v>
      </c>
      <c r="BQ6" s="34" t="str">
        <f t="shared" si="49"/>
        <v>F</v>
      </c>
      <c r="BR6" s="34" t="str">
        <f t="shared" si="49"/>
        <v>S</v>
      </c>
      <c r="BS6" s="35" t="str">
        <f t="shared" si="49"/>
        <v>S</v>
      </c>
      <c r="BT6" s="34" t="str">
        <f t="shared" si="49"/>
        <v>M</v>
      </c>
      <c r="BU6" s="34" t="str">
        <f t="shared" si="49"/>
        <v>T</v>
      </c>
      <c r="BV6" s="34" t="str">
        <f t="shared" si="49"/>
        <v>W</v>
      </c>
      <c r="BW6" s="34" t="str">
        <f t="shared" si="49"/>
        <v>T</v>
      </c>
      <c r="BX6" s="34" t="str">
        <f t="shared" si="49"/>
        <v>F</v>
      </c>
      <c r="BY6" s="34" t="str">
        <f t="shared" si="49"/>
        <v>S</v>
      </c>
      <c r="BZ6" s="35" t="str">
        <f t="shared" si="49"/>
        <v>S</v>
      </c>
      <c r="CA6" s="34" t="str">
        <f t="shared" ref="CA6:CU6" si="50">LEFT(TEXT(CA5,"ddd"),1)</f>
        <v>M</v>
      </c>
      <c r="CB6" s="34" t="str">
        <f t="shared" si="50"/>
        <v>T</v>
      </c>
      <c r="CC6" s="34" t="str">
        <f t="shared" si="50"/>
        <v>W</v>
      </c>
      <c r="CD6" s="34" t="str">
        <f t="shared" si="50"/>
        <v>T</v>
      </c>
      <c r="CE6" s="34" t="str">
        <f t="shared" si="50"/>
        <v>F</v>
      </c>
      <c r="CF6" s="34" t="str">
        <f t="shared" si="50"/>
        <v>S</v>
      </c>
      <c r="CG6" s="35" t="str">
        <f t="shared" si="50"/>
        <v>S</v>
      </c>
      <c r="CH6" s="34" t="str">
        <f t="shared" si="50"/>
        <v>M</v>
      </c>
      <c r="CI6" s="34" t="str">
        <f t="shared" si="50"/>
        <v>T</v>
      </c>
      <c r="CJ6" s="34" t="str">
        <f t="shared" si="50"/>
        <v>W</v>
      </c>
      <c r="CK6" s="34" t="str">
        <f t="shared" si="50"/>
        <v>T</v>
      </c>
      <c r="CL6" s="34" t="str">
        <f t="shared" si="50"/>
        <v>F</v>
      </c>
      <c r="CM6" s="34" t="str">
        <f t="shared" si="50"/>
        <v>S</v>
      </c>
      <c r="CN6" s="35" t="str">
        <f t="shared" si="50"/>
        <v>S</v>
      </c>
      <c r="CO6" s="34" t="str">
        <f t="shared" si="50"/>
        <v>M</v>
      </c>
      <c r="CP6" s="34" t="str">
        <f t="shared" si="50"/>
        <v>T</v>
      </c>
      <c r="CQ6" s="34" t="str">
        <f t="shared" si="50"/>
        <v>W</v>
      </c>
      <c r="CR6" s="34" t="str">
        <f t="shared" si="50"/>
        <v>T</v>
      </c>
      <c r="CS6" s="34" t="str">
        <f t="shared" si="50"/>
        <v>F</v>
      </c>
      <c r="CT6" s="34" t="str">
        <f t="shared" si="50"/>
        <v>S</v>
      </c>
      <c r="CU6" s="35" t="str">
        <f t="shared" si="50"/>
        <v>S</v>
      </c>
      <c r="CV6" s="34" t="str">
        <f t="shared" ref="CV6:DB6" si="51">LEFT(TEXT(CV5,"ddd"),1)</f>
        <v>M</v>
      </c>
      <c r="CW6" s="34" t="str">
        <f t="shared" si="51"/>
        <v>T</v>
      </c>
      <c r="CX6" s="34" t="str">
        <f t="shared" si="51"/>
        <v>W</v>
      </c>
      <c r="CY6" s="34" t="str">
        <f t="shared" si="51"/>
        <v>T</v>
      </c>
      <c r="CZ6" s="34" t="str">
        <f t="shared" si="51"/>
        <v>F</v>
      </c>
      <c r="DA6" s="34" t="str">
        <f t="shared" si="51"/>
        <v>S</v>
      </c>
      <c r="DB6" s="35" t="str">
        <f t="shared" si="51"/>
        <v>S</v>
      </c>
    </row>
    <row r="7" spans="1:106" s="25" customFormat="1" ht="30" hidden="1" customHeight="1" thickBot="1">
      <c r="A7" s="13" t="s">
        <v>18</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106" s="45" customFormat="1" ht="30" customHeight="1" thickBot="1">
      <c r="A8" s="14"/>
      <c r="B8" s="39" t="s">
        <v>25</v>
      </c>
      <c r="C8" s="40"/>
      <c r="D8" s="41"/>
      <c r="E8" s="42"/>
      <c r="F8" s="43"/>
      <c r="G8" s="17"/>
      <c r="H8" s="5" t="str">
        <f t="shared" ref="H8:H26" si="52">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106" s="45" customFormat="1" ht="30" customHeight="1" thickBot="1">
      <c r="A9" s="14"/>
      <c r="B9" s="46" t="s">
        <v>30</v>
      </c>
      <c r="C9" s="47"/>
      <c r="D9" s="48">
        <v>1</v>
      </c>
      <c r="E9" s="49">
        <f>Project_Start</f>
        <v>45938</v>
      </c>
      <c r="F9" s="49">
        <f>E9+3</f>
        <v>45941</v>
      </c>
      <c r="G9" s="17"/>
      <c r="H9" s="5">
        <f t="shared" si="52"/>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row>
    <row r="10" spans="1:106" s="45" customFormat="1" ht="30" customHeight="1" thickBot="1">
      <c r="A10" s="14"/>
      <c r="B10" s="51" t="s">
        <v>29</v>
      </c>
      <c r="C10" s="52"/>
      <c r="D10" s="53">
        <v>1</v>
      </c>
      <c r="E10" s="54">
        <f>F9</f>
        <v>45941</v>
      </c>
      <c r="F10" s="54">
        <f>E10+10</f>
        <v>45951</v>
      </c>
      <c r="G10" s="17"/>
      <c r="H10" s="5">
        <f t="shared" si="52"/>
        <v>11</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row>
    <row r="11" spans="1:106" s="45" customFormat="1" ht="30" customHeight="1" thickBot="1">
      <c r="A11" s="13"/>
      <c r="B11" s="51" t="s">
        <v>28</v>
      </c>
      <c r="C11" s="52"/>
      <c r="D11" s="53">
        <v>1</v>
      </c>
      <c r="E11" s="54">
        <f>F10</f>
        <v>45951</v>
      </c>
      <c r="F11" s="54">
        <f>E11+10</f>
        <v>45961</v>
      </c>
      <c r="G11" s="17"/>
      <c r="H11" s="5">
        <f t="shared" si="52"/>
        <v>11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row>
    <row r="12" spans="1:106" s="45" customFormat="1" ht="30" customHeight="1" thickBot="1">
      <c r="A12" s="13"/>
      <c r="B12" s="56" t="s">
        <v>20</v>
      </c>
      <c r="C12" s="57"/>
      <c r="D12" s="58"/>
      <c r="E12" s="59"/>
      <c r="F12" s="60"/>
      <c r="G12" s="17"/>
      <c r="H12" s="5" t="str">
        <f t="shared" si="52"/>
        <v/>
      </c>
    </row>
    <row r="13" spans="1:106" s="45" customFormat="1" ht="30" customHeight="1" thickBot="1">
      <c r="A13" s="13"/>
      <c r="B13" s="61" t="s">
        <v>31</v>
      </c>
      <c r="C13" s="62"/>
      <c r="D13" s="63">
        <v>0.8</v>
      </c>
      <c r="E13" s="64">
        <f>E11+2</f>
        <v>45953</v>
      </c>
      <c r="F13" s="64">
        <f>E13+7</f>
        <v>45960</v>
      </c>
      <c r="G13" s="17"/>
      <c r="H13" s="5">
        <f t="shared" si="52"/>
        <v>8</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row>
    <row r="14" spans="1:106" s="45" customFormat="1" ht="30" customHeight="1" thickBot="1">
      <c r="A14" s="14"/>
      <c r="B14" s="61" t="s">
        <v>32</v>
      </c>
      <c r="C14" s="62"/>
      <c r="D14" s="63">
        <v>1</v>
      </c>
      <c r="E14" s="64">
        <f>F13</f>
        <v>45960</v>
      </c>
      <c r="F14" s="64">
        <f>E14+7</f>
        <v>45967</v>
      </c>
      <c r="G14" s="17"/>
      <c r="H14" s="5">
        <f t="shared" si="52"/>
        <v>8</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row>
    <row r="15" spans="1:106" s="45" customFormat="1" ht="30" customHeight="1" thickBot="1">
      <c r="A15" s="14"/>
      <c r="B15" s="61" t="s">
        <v>33</v>
      </c>
      <c r="C15" s="62"/>
      <c r="D15" s="63">
        <v>1</v>
      </c>
      <c r="E15" s="64">
        <f>F14+1</f>
        <v>45968</v>
      </c>
      <c r="F15" s="64">
        <f>E15+3</f>
        <v>45971</v>
      </c>
      <c r="G15" s="17"/>
      <c r="H15" s="5">
        <f t="shared" si="52"/>
        <v>4</v>
      </c>
      <c r="I15" s="50"/>
      <c r="J15" s="50"/>
      <c r="K15" s="50"/>
      <c r="L15" s="8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row>
    <row r="16" spans="1:106" s="45" customFormat="1" ht="30" customHeight="1" thickBot="1">
      <c r="A16" s="13"/>
      <c r="B16" s="65" t="s">
        <v>26</v>
      </c>
      <c r="C16" s="66"/>
      <c r="D16" s="67"/>
      <c r="E16" s="68"/>
      <c r="F16" s="69"/>
      <c r="G16" s="17"/>
      <c r="H16" s="5" t="str">
        <f t="shared" si="52"/>
        <v/>
      </c>
      <c r="I16" s="70"/>
      <c r="J16" s="70"/>
      <c r="K16" s="70"/>
      <c r="L16" s="5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row>
    <row r="17" spans="1:106" s="45" customFormat="1" ht="30" customHeight="1" thickBot="1">
      <c r="A17" s="13"/>
      <c r="B17" s="71" t="s">
        <v>34</v>
      </c>
      <c r="C17" s="72"/>
      <c r="D17" s="73">
        <v>1</v>
      </c>
      <c r="E17" s="74">
        <f>F15</f>
        <v>45971</v>
      </c>
      <c r="F17" s="74">
        <f>E17+3</f>
        <v>45974</v>
      </c>
      <c r="G17" s="17"/>
      <c r="H17" s="5">
        <f t="shared" si="52"/>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row>
    <row r="18" spans="1:106" s="45" customFormat="1" ht="30" customHeight="1" thickBot="1">
      <c r="A18" s="13"/>
      <c r="B18" s="71" t="s">
        <v>35</v>
      </c>
      <c r="C18" s="72"/>
      <c r="D18" s="73">
        <v>0</v>
      </c>
      <c r="E18" s="74">
        <f>F17+15</f>
        <v>45989</v>
      </c>
      <c r="F18" s="74">
        <f>E18</f>
        <v>45989</v>
      </c>
      <c r="G18" s="17"/>
      <c r="H18" s="5">
        <f t="shared" si="52"/>
        <v>1</v>
      </c>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row>
    <row r="19" spans="1:106" s="45" customFormat="1" ht="30" customHeight="1" thickBot="1">
      <c r="A19" s="13"/>
      <c r="B19" s="75" t="s">
        <v>27</v>
      </c>
      <c r="C19" s="76"/>
      <c r="D19" s="77"/>
      <c r="E19" s="78"/>
      <c r="F19" s="79"/>
      <c r="G19" s="17"/>
      <c r="H19" s="5" t="str">
        <f t="shared" si="52"/>
        <v/>
      </c>
      <c r="I19" s="80"/>
      <c r="J19" s="80"/>
      <c r="K19" s="80"/>
      <c r="L1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row>
    <row r="20" spans="1:106" s="45" customFormat="1" ht="30" customHeight="1" thickBot="1">
      <c r="A20" s="13"/>
      <c r="B20" s="81" t="s">
        <v>36</v>
      </c>
      <c r="C20" s="82"/>
      <c r="D20" s="83">
        <v>0</v>
      </c>
      <c r="E20" s="84">
        <f>F17+2</f>
        <v>45976</v>
      </c>
      <c r="F20" s="84">
        <f>E20+15</f>
        <v>45991</v>
      </c>
      <c r="G20" s="17"/>
      <c r="H20" s="5">
        <f t="shared" si="52"/>
        <v>16</v>
      </c>
      <c r="I20" s="50"/>
      <c r="J20" s="50"/>
      <c r="K20" s="50"/>
      <c r="L2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row>
    <row r="21" spans="1:106" s="45" customFormat="1" ht="30" customHeight="1" thickBot="1">
      <c r="A21" s="13"/>
      <c r="B21" s="81" t="s">
        <v>37</v>
      </c>
      <c r="C21" s="82"/>
      <c r="D21" s="83">
        <v>0</v>
      </c>
      <c r="E21" s="84">
        <f>F20</f>
        <v>45991</v>
      </c>
      <c r="F21" s="84">
        <f>E21+15</f>
        <v>46006</v>
      </c>
      <c r="G21" s="17"/>
      <c r="H21" s="5">
        <f t="shared" si="52"/>
        <v>16</v>
      </c>
      <c r="I21" s="50"/>
      <c r="J21" s="50"/>
      <c r="K21" s="50"/>
      <c r="L21"/>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row>
    <row r="22" spans="1:106" s="45" customFormat="1" ht="30" customHeight="1" thickBot="1">
      <c r="A22" s="13"/>
      <c r="B22" s="81" t="s">
        <v>38</v>
      </c>
      <c r="C22" s="82"/>
      <c r="D22" s="83">
        <v>0</v>
      </c>
      <c r="E22" s="84">
        <f>F21+4</f>
        <v>46010</v>
      </c>
      <c r="F22" s="84">
        <f>E22+15</f>
        <v>46025</v>
      </c>
      <c r="G22" s="17"/>
      <c r="H22" s="5">
        <f t="shared" si="52"/>
        <v>16</v>
      </c>
      <c r="I22" s="50"/>
      <c r="J22" s="50"/>
      <c r="K22" s="50"/>
      <c r="L22"/>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row>
    <row r="23" spans="1:106" s="45" customFormat="1" ht="30" customHeight="1" thickBot="1">
      <c r="A23" s="13"/>
      <c r="B23" s="81" t="s">
        <v>39</v>
      </c>
      <c r="C23" s="82"/>
      <c r="D23" s="83">
        <v>0</v>
      </c>
      <c r="E23" s="84">
        <f>F22</f>
        <v>46025</v>
      </c>
      <c r="F23" s="84">
        <f>E23+3</f>
        <v>46028</v>
      </c>
      <c r="G23" s="17"/>
      <c r="H23" s="5">
        <f t="shared" si="52"/>
        <v>4</v>
      </c>
      <c r="I23" s="50"/>
      <c r="J23" s="50"/>
      <c r="K23" s="50"/>
      <c r="L23"/>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row>
    <row r="24" spans="1:106" s="45" customFormat="1" ht="30" customHeight="1" thickBot="1">
      <c r="A24" s="13"/>
      <c r="B24" s="81" t="s">
        <v>40</v>
      </c>
      <c r="C24" s="82"/>
      <c r="D24" s="83">
        <v>0</v>
      </c>
      <c r="E24" s="84">
        <f>E23</f>
        <v>46025</v>
      </c>
      <c r="F24" s="84">
        <f>E24+8</f>
        <v>46033</v>
      </c>
      <c r="G24" s="17"/>
      <c r="H24" s="5">
        <f t="shared" si="52"/>
        <v>9</v>
      </c>
      <c r="I24" s="50"/>
      <c r="J24" s="50"/>
      <c r="K24" s="50"/>
      <c r="L24"/>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row>
    <row r="25" spans="1:106" s="45" customFormat="1" ht="30" customHeight="1" thickBot="1">
      <c r="A25" s="13"/>
      <c r="B25" s="85"/>
      <c r="C25" s="86"/>
      <c r="D25" s="87"/>
      <c r="E25" s="88"/>
      <c r="F25" s="88"/>
      <c r="G25" s="17"/>
      <c r="H25" s="5" t="str">
        <f t="shared" si="52"/>
        <v/>
      </c>
      <c r="I25" s="44"/>
      <c r="J25" s="44"/>
      <c r="K25" s="44"/>
      <c r="L25"/>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106" s="45" customFormat="1" ht="30" customHeight="1" thickBot="1">
      <c r="A26" s="13"/>
      <c r="B26" s="89"/>
      <c r="C26" s="90"/>
      <c r="D26" s="91"/>
      <c r="E26" s="92"/>
      <c r="F26" s="93"/>
      <c r="G26" s="17"/>
      <c r="H26" s="6" t="str">
        <f t="shared" si="52"/>
        <v/>
      </c>
      <c r="I26" s="94"/>
      <c r="J26" s="94"/>
      <c r="K26" s="94"/>
      <c r="L26"/>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row>
    <row r="27" spans="1:106" s="45" customFormat="1" ht="30" customHeight="1">
      <c r="A27" s="13"/>
      <c r="B27"/>
      <c r="C27"/>
      <c r="D27"/>
      <c r="E27" s="2"/>
      <c r="F27"/>
      <c r="G27" s="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row>
    <row r="28" spans="1:106" s="45" customFormat="1" ht="30" customHeight="1">
      <c r="A28" s="13"/>
      <c r="B28"/>
      <c r="C28" s="16"/>
      <c r="D28"/>
      <c r="E28" s="2"/>
      <c r="F28" s="15"/>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row>
    <row r="29" spans="1:106" s="45" customFormat="1" ht="30" customHeight="1">
      <c r="A29" s="13"/>
      <c r="B29"/>
      <c r="C29" s="4"/>
      <c r="D29"/>
      <c r="E29" s="2"/>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row>
    <row r="30" spans="1:106" s="45" customFormat="1" ht="30" customHeight="1">
      <c r="A30" s="13"/>
      <c r="B30"/>
      <c r="C30"/>
      <c r="D30"/>
      <c r="E30" s="2"/>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row>
    <row r="31" spans="1:106" s="45" customFormat="1" ht="30" customHeight="1">
      <c r="A31" s="13"/>
      <c r="B31"/>
      <c r="C31"/>
      <c r="D31"/>
      <c r="E31" s="2"/>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row>
    <row r="32" spans="1:106" s="45" customFormat="1" ht="30" customHeight="1">
      <c r="A32" s="13"/>
      <c r="B32"/>
      <c r="C32"/>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row>
    <row r="33" spans="1:106" s="45" customFormat="1" ht="30" customHeight="1">
      <c r="A33" s="14"/>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row>
  </sheetData>
  <mergeCells count="25">
    <mergeCell ref="CV4:DB4"/>
    <mergeCell ref="D2:E2"/>
    <mergeCell ref="BM4:BS4"/>
    <mergeCell ref="BT4:BZ4"/>
    <mergeCell ref="CA4:CG4"/>
    <mergeCell ref="CH4:CN4"/>
    <mergeCell ref="CO4:CU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phoneticPr fontId="32" type="noConversion"/>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BM4:DB6 BM9:DB11 BM13:DB15 BM17:DB18 BM20:DB24 I4:BL12 L13:L18 I13:K24 M13:BL24">
    <cfRule type="expression" dxfId="8" priority="1">
      <formula>AND(TODAY()&gt;=I$5, TODAY()&lt;J$5)</formula>
    </cfRule>
  </conditionalFormatting>
  <conditionalFormatting sqref="I9:DB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K15 M13:DB15">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7:K18 M17:DB18 L13:L1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0:K24 M20:DB24 L16:L18">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36"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cols>
    <col min="1" max="1" width="87" style="7" customWidth="1"/>
    <col min="2" max="16384" width="9" style="1"/>
  </cols>
  <sheetData>
    <row r="1" spans="1:2" ht="46.5" customHeight="1"/>
    <row r="2" spans="1:2" s="9" customFormat="1" ht="15.6">
      <c r="A2" s="98" t="s">
        <v>7</v>
      </c>
      <c r="B2" s="8"/>
    </row>
    <row r="3" spans="1:2" s="11" customFormat="1" ht="27" customHeight="1">
      <c r="A3" s="99"/>
      <c r="B3" s="12"/>
    </row>
    <row r="4" spans="1:2" s="10" customFormat="1" ht="30">
      <c r="A4" s="100" t="s">
        <v>6</v>
      </c>
    </row>
    <row r="5" spans="1:2" ht="74.25" customHeight="1">
      <c r="A5" s="101" t="s">
        <v>14</v>
      </c>
    </row>
    <row r="6" spans="1:2" ht="26.25" customHeight="1">
      <c r="A6" s="100" t="s">
        <v>17</v>
      </c>
    </row>
    <row r="7" spans="1:2" s="7" customFormat="1" ht="205.05" customHeight="1">
      <c r="A7" s="102" t="s">
        <v>16</v>
      </c>
    </row>
    <row r="8" spans="1:2" s="10" customFormat="1" ht="30">
      <c r="A8" s="100" t="s">
        <v>8</v>
      </c>
    </row>
    <row r="9" spans="1:2" ht="41.4">
      <c r="A9" s="101" t="s">
        <v>15</v>
      </c>
    </row>
    <row r="10" spans="1:2" s="7" customFormat="1" ht="28.05" customHeight="1">
      <c r="A10" s="103" t="s">
        <v>13</v>
      </c>
    </row>
    <row r="11" spans="1:2" s="10" customFormat="1" ht="30">
      <c r="A11" s="100" t="s">
        <v>5</v>
      </c>
    </row>
    <row r="12" spans="1:2" ht="27.6">
      <c r="A12" s="101" t="s">
        <v>12</v>
      </c>
    </row>
    <row r="13" spans="1:2" s="7" customFormat="1" ht="28.05" customHeight="1">
      <c r="A13" s="103" t="s">
        <v>1</v>
      </c>
    </row>
    <row r="14" spans="1:2" s="10" customFormat="1" ht="30">
      <c r="A14" s="100" t="s">
        <v>9</v>
      </c>
    </row>
    <row r="15" spans="1:2" ht="75" customHeight="1">
      <c r="A15" s="101" t="s">
        <v>10</v>
      </c>
    </row>
    <row r="16" spans="1:2" ht="69">
      <c r="A16" s="101" t="s">
        <v>11</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Mohammad Azri</dc:creator>
  <dc:description/>
  <cp:lastModifiedBy>Mohammad Azri</cp:lastModifiedBy>
  <cp:lastPrinted>2025-11-28T00:02:52Z</cp:lastPrinted>
  <dcterms:created xsi:type="dcterms:W3CDTF">2022-03-11T22:41:12Z</dcterms:created>
  <dcterms:modified xsi:type="dcterms:W3CDTF">2025-11-28T02:18:33Z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